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mac_poclab/PycharmProjects/3D_electronic_analysis_for_site-selectivity/data/"/>
    </mc:Choice>
  </mc:AlternateContent>
  <xr:revisionPtr revIDLastSave="0" documentId="13_ncr:1_{263021CF-A14B-1E4F-86FB-40EBB5A76C2D}" xr6:coauthVersionLast="47" xr6:coauthVersionMax="47" xr10:uidLastSave="{00000000-0000-0000-0000-000000000000}"/>
  <bookViews>
    <workbookView xWindow="4660" yWindow="500" windowWidth="19440" windowHeight="10320" tabRatio="774" xr2:uid="{6D98AD31-C569-414B-8F60-032D72598696}"/>
  </bookViews>
  <sheets>
    <sheet name="dataset" sheetId="5" r:id="rId1"/>
    <sheet name="A1 = fluorenone" sheetId="2" r:id="rId2"/>
    <sheet name="A1 = benzophenone" sheetId="1" r:id="rId3"/>
    <sheet name="A1=dibenzosuberone" sheetId="4" r:id="rId4"/>
    <sheet name="others" sheetId="12" r:id="rId5"/>
    <sheet name="diketone_reduction_results" sheetId="8" r:id="rId6"/>
  </sheets>
  <definedNames>
    <definedName name="_xlnm._FilterDatabase" localSheetId="0" hidden="1">dataset!$E$1:$E$169</definedName>
    <definedName name="_xlnm._FilterDatabase" localSheetId="5">diketone_reduction_results!$B$2:$P$33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0" i="5" l="1"/>
  <c r="S79" i="5"/>
  <c r="S97" i="5"/>
  <c r="S96" i="5"/>
  <c r="S95" i="5"/>
  <c r="S91" i="5"/>
  <c r="D47" i="5"/>
  <c r="D46" i="5"/>
  <c r="D80" i="5"/>
  <c r="D97" i="5"/>
  <c r="M30" i="2" a="1"/>
  <c r="M30" i="2" s="1"/>
  <c r="D8" i="5"/>
  <c r="D7" i="5"/>
  <c r="D6" i="5"/>
  <c r="D5" i="5"/>
  <c r="F190" i="1"/>
  <c r="J190" i="1" s="1"/>
  <c r="L190" i="1" s="1"/>
  <c r="F189" i="1"/>
  <c r="J189" i="1" s="1"/>
  <c r="L189" i="1" s="1"/>
  <c r="F188" i="1"/>
  <c r="J188" i="1" s="1"/>
  <c r="L188" i="1" s="1"/>
  <c r="F187" i="1"/>
  <c r="J187" i="1" s="1"/>
  <c r="L187" i="1" s="1"/>
  <c r="I190" i="1"/>
  <c r="K190" i="1" s="1"/>
  <c r="I189" i="1"/>
  <c r="K189" i="1" s="1"/>
  <c r="I188" i="1"/>
  <c r="K188" i="1" s="1"/>
  <c r="I187" i="1"/>
  <c r="K187" i="1" s="1"/>
  <c r="F360" i="1"/>
  <c r="J360" i="1" s="1"/>
  <c r="L360" i="1" s="1"/>
  <c r="F359" i="1"/>
  <c r="J359" i="1" s="1"/>
  <c r="L359" i="1" s="1"/>
  <c r="F358" i="1"/>
  <c r="J358" i="1" s="1"/>
  <c r="L358" i="1" s="1"/>
  <c r="F357" i="1"/>
  <c r="J357" i="1" s="1"/>
  <c r="L357" i="1" s="1"/>
  <c r="I360" i="1"/>
  <c r="K360" i="1" s="1"/>
  <c r="I359" i="1"/>
  <c r="K359" i="1" s="1"/>
  <c r="I358" i="1"/>
  <c r="K358" i="1" s="1"/>
  <c r="I357" i="1"/>
  <c r="K357" i="1" s="1"/>
  <c r="I370" i="1"/>
  <c r="K370" i="1" s="1"/>
  <c r="J370" i="1"/>
  <c r="L370" i="1" s="1"/>
  <c r="J369" i="1"/>
  <c r="L369" i="1" s="1"/>
  <c r="I369" i="1"/>
  <c r="K369" i="1" s="1"/>
  <c r="J368" i="1"/>
  <c r="L368" i="1" s="1"/>
  <c r="I368" i="1"/>
  <c r="K368" i="1" s="1"/>
  <c r="J367" i="1"/>
  <c r="L367" i="1" s="1"/>
  <c r="I367" i="1"/>
  <c r="K367" i="1" s="1"/>
  <c r="F325" i="1"/>
  <c r="J325" i="1" s="1"/>
  <c r="L325" i="1" s="1"/>
  <c r="F324" i="1"/>
  <c r="J324" i="1" s="1"/>
  <c r="L324" i="1" s="1"/>
  <c r="F323" i="1"/>
  <c r="J323" i="1" s="1"/>
  <c r="L323" i="1" s="1"/>
  <c r="F322" i="1"/>
  <c r="J322" i="1" s="1"/>
  <c r="L322" i="1" s="1"/>
  <c r="I325" i="1"/>
  <c r="K325" i="1" s="1"/>
  <c r="I324" i="1"/>
  <c r="K324" i="1" s="1"/>
  <c r="I323" i="1"/>
  <c r="K323" i="1" s="1"/>
  <c r="I322" i="1"/>
  <c r="K322" i="1" s="1"/>
  <c r="M322" i="1" s="1" a="1"/>
  <c r="M322" i="1" s="1"/>
  <c r="F99" i="1"/>
  <c r="J99" i="1" s="1"/>
  <c r="L99" i="1" s="1"/>
  <c r="F98" i="1"/>
  <c r="J98" i="1" s="1"/>
  <c r="L98" i="1" s="1"/>
  <c r="F97" i="1"/>
  <c r="J97" i="1" s="1"/>
  <c r="L97" i="1" s="1"/>
  <c r="F96" i="1"/>
  <c r="J96" i="1" s="1"/>
  <c r="L96" i="1" s="1"/>
  <c r="I99" i="1"/>
  <c r="K99" i="1" s="1"/>
  <c r="I98" i="1"/>
  <c r="K98" i="1" s="1"/>
  <c r="I97" i="1"/>
  <c r="K97" i="1" s="1"/>
  <c r="I96" i="1"/>
  <c r="K96" i="1" s="1"/>
  <c r="F108" i="2"/>
  <c r="J108" i="2" s="1"/>
  <c r="L108" i="2" s="1"/>
  <c r="J121" i="1"/>
  <c r="L121" i="1" s="1"/>
  <c r="I121" i="1"/>
  <c r="K121" i="1" s="1"/>
  <c r="J120" i="1"/>
  <c r="L120" i="1" s="1"/>
  <c r="I120" i="1"/>
  <c r="K120" i="1" s="1"/>
  <c r="J119" i="1"/>
  <c r="L119" i="1" s="1"/>
  <c r="I119" i="1"/>
  <c r="K119" i="1" s="1"/>
  <c r="J118" i="1"/>
  <c r="L118" i="1" s="1"/>
  <c r="I118" i="1"/>
  <c r="K118" i="1" s="1"/>
  <c r="I355" i="1"/>
  <c r="K355" i="1" s="1"/>
  <c r="F355" i="1"/>
  <c r="J355" i="1" s="1"/>
  <c r="L355" i="1" s="1"/>
  <c r="F354" i="1"/>
  <c r="J354" i="1" s="1"/>
  <c r="L354" i="1" s="1"/>
  <c r="F353" i="1"/>
  <c r="J353" i="1" s="1"/>
  <c r="L353" i="1" s="1"/>
  <c r="F352" i="1"/>
  <c r="J352" i="1" s="1"/>
  <c r="L352" i="1" s="1"/>
  <c r="I354" i="1"/>
  <c r="K354" i="1" s="1"/>
  <c r="I353" i="1"/>
  <c r="K353" i="1" s="1"/>
  <c r="I352" i="1"/>
  <c r="K352" i="1" s="1"/>
  <c r="J5" i="1"/>
  <c r="J4" i="1"/>
  <c r="J3" i="1"/>
  <c r="I111" i="2"/>
  <c r="K111" i="2" s="1"/>
  <c r="J111" i="2"/>
  <c r="L111" i="2" s="1"/>
  <c r="J110" i="2"/>
  <c r="L110" i="2" s="1"/>
  <c r="I110" i="2"/>
  <c r="K110" i="2" s="1"/>
  <c r="J109" i="2"/>
  <c r="L109" i="2" s="1"/>
  <c r="I109" i="2"/>
  <c r="K109" i="2" s="1"/>
  <c r="I108" i="2"/>
  <c r="K108" i="2" s="1"/>
  <c r="H32" i="2"/>
  <c r="J32" i="2" s="1"/>
  <c r="L32" i="2" s="1"/>
  <c r="H108" i="1"/>
  <c r="J108" i="1" s="1"/>
  <c r="L108" i="1" s="1"/>
  <c r="R8" i="5"/>
  <c r="H21" i="2"/>
  <c r="H18" i="2"/>
  <c r="I21" i="2"/>
  <c r="K21" i="2" s="1"/>
  <c r="F21" i="2"/>
  <c r="H20" i="2"/>
  <c r="F20" i="2"/>
  <c r="H19" i="2"/>
  <c r="F19" i="2"/>
  <c r="F18" i="2"/>
  <c r="I20" i="2"/>
  <c r="K20" i="2" s="1"/>
  <c r="I19" i="2"/>
  <c r="K19" i="2" s="1"/>
  <c r="I18" i="2"/>
  <c r="K18" i="2" s="1"/>
  <c r="J28" i="2"/>
  <c r="L28" i="2" s="1"/>
  <c r="E28" i="2"/>
  <c r="I28" i="2" s="1"/>
  <c r="K28" i="2" s="1"/>
  <c r="I16" i="2"/>
  <c r="K16" i="2" s="1"/>
  <c r="F16" i="2"/>
  <c r="J16" i="2" s="1"/>
  <c r="L16" i="2" s="1"/>
  <c r="F15" i="2"/>
  <c r="J15" i="2" s="1"/>
  <c r="L15" i="2" s="1"/>
  <c r="F14" i="2"/>
  <c r="J14" i="2" s="1"/>
  <c r="L14" i="2" s="1"/>
  <c r="F13" i="2"/>
  <c r="J13" i="2" s="1"/>
  <c r="L13" i="2" s="1"/>
  <c r="I15" i="2"/>
  <c r="K15" i="2" s="1"/>
  <c r="I14" i="2"/>
  <c r="K14" i="2" s="1"/>
  <c r="I13" i="2"/>
  <c r="K13" i="2" s="1"/>
  <c r="E27" i="2"/>
  <c r="I27" i="2" s="1"/>
  <c r="K27" i="2" s="1"/>
  <c r="E26" i="2"/>
  <c r="I26" i="2" s="1"/>
  <c r="K26" i="2" s="1"/>
  <c r="E25" i="2"/>
  <c r="I25" i="2" s="1"/>
  <c r="K25" i="2" s="1"/>
  <c r="J27" i="2"/>
  <c r="L27" i="2" s="1"/>
  <c r="J26" i="2"/>
  <c r="L26" i="2" s="1"/>
  <c r="J25" i="2"/>
  <c r="L25" i="2" s="1"/>
  <c r="H31" i="2"/>
  <c r="J31" i="2" s="1"/>
  <c r="L31" i="2" s="1"/>
  <c r="H30" i="2"/>
  <c r="J30" i="2" s="1"/>
  <c r="L30" i="2" s="1"/>
  <c r="I32" i="2"/>
  <c r="K32" i="2" s="1"/>
  <c r="I31" i="2"/>
  <c r="K31" i="2" s="1"/>
  <c r="I30" i="2"/>
  <c r="K30" i="2" s="1"/>
  <c r="H204" i="1"/>
  <c r="J204" i="1" s="1"/>
  <c r="L204" i="1" s="1"/>
  <c r="F88" i="1"/>
  <c r="J88" i="1" s="1"/>
  <c r="L88" i="1" s="1"/>
  <c r="F93" i="1"/>
  <c r="J93" i="1" s="1"/>
  <c r="L93" i="1" s="1"/>
  <c r="F92" i="1"/>
  <c r="J92" i="1" s="1"/>
  <c r="L92" i="1" s="1"/>
  <c r="F91" i="1"/>
  <c r="J91" i="1" s="1"/>
  <c r="L91" i="1" s="1"/>
  <c r="I93" i="1"/>
  <c r="K93" i="1" s="1"/>
  <c r="I92" i="1"/>
  <c r="K92" i="1" s="1"/>
  <c r="I91" i="1"/>
  <c r="K91" i="1" s="1"/>
  <c r="F87" i="1"/>
  <c r="F86" i="1"/>
  <c r="J86" i="1" s="1"/>
  <c r="L86" i="1" s="1"/>
  <c r="I88" i="1"/>
  <c r="K88" i="1" s="1"/>
  <c r="I87" i="1"/>
  <c r="K87" i="1" s="1"/>
  <c r="I86" i="1"/>
  <c r="K86" i="1" s="1"/>
  <c r="H203" i="1"/>
  <c r="J203" i="1" s="1"/>
  <c r="L203" i="1" s="1"/>
  <c r="H202" i="1"/>
  <c r="J202" i="1" s="1"/>
  <c r="L202" i="1" s="1"/>
  <c r="I204" i="1"/>
  <c r="K204" i="1" s="1"/>
  <c r="I203" i="1"/>
  <c r="K203" i="1" s="1"/>
  <c r="I202" i="1"/>
  <c r="K202" i="1" s="1"/>
  <c r="H107" i="1"/>
  <c r="J107" i="1" s="1"/>
  <c r="L107" i="1" s="1"/>
  <c r="H106" i="1"/>
  <c r="J106" i="1" s="1"/>
  <c r="L106" i="1" s="1"/>
  <c r="I108" i="1"/>
  <c r="K108" i="1" s="1"/>
  <c r="I107" i="1"/>
  <c r="K107" i="1" s="1"/>
  <c r="I106" i="1"/>
  <c r="K106" i="1" s="1"/>
  <c r="R64" i="5"/>
  <c r="R22" i="5"/>
  <c r="M25" i="2" l="1" a="1"/>
  <c r="M25" i="2" s="1"/>
  <c r="M13" i="2" a="1"/>
  <c r="M13" i="2" s="1"/>
  <c r="M36" i="2"/>
  <c r="J21" i="2"/>
  <c r="L21" i="2" s="1"/>
  <c r="M187" i="1" a="1"/>
  <c r="M352" i="1" a="1"/>
  <c r="M352" i="1" s="1"/>
  <c r="Q352" i="1" s="1"/>
  <c r="L79" i="5" s="1"/>
  <c r="Q79" i="5" s="1"/>
  <c r="M118" i="1" a="1"/>
  <c r="M118" i="1" s="1"/>
  <c r="Q118" i="1" s="1"/>
  <c r="L91" i="5" s="1"/>
  <c r="Q91" i="5" s="1"/>
  <c r="M202" i="1" a="1"/>
  <c r="M202" i="1" s="1"/>
  <c r="M207" i="1" s="1"/>
  <c r="M106" i="1" a="1"/>
  <c r="M106" i="1" s="1"/>
  <c r="M112" i="1" s="1"/>
  <c r="M91" i="1" a="1"/>
  <c r="M91" i="1" s="1"/>
  <c r="M357" i="1" a="1"/>
  <c r="M357" i="1" s="1"/>
  <c r="M96" i="1" a="1"/>
  <c r="M96" i="1" s="1"/>
  <c r="Q96" i="1" s="1"/>
  <c r="L95" i="5" s="1"/>
  <c r="Q95" i="5" s="1"/>
  <c r="M367" i="1" a="1"/>
  <c r="M108" i="2" a="1"/>
  <c r="M108" i="2" s="1"/>
  <c r="Q108" i="2" s="1"/>
  <c r="O108" i="2"/>
  <c r="J20" i="2"/>
  <c r="L20" i="2" s="1"/>
  <c r="J19" i="2"/>
  <c r="L19" i="2" s="1"/>
  <c r="J18" i="2"/>
  <c r="L18" i="2" s="1"/>
  <c r="O13" i="2"/>
  <c r="J87" i="1"/>
  <c r="L87" i="1" s="1"/>
  <c r="H33" i="8"/>
  <c r="H17" i="8"/>
  <c r="D27" i="5"/>
  <c r="D35" i="5"/>
  <c r="D51" i="5"/>
  <c r="D53" i="5"/>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J34" i="8" s="1"/>
  <c r="M4" i="8"/>
  <c r="M5" i="8"/>
  <c r="M6" i="8"/>
  <c r="M7" i="8"/>
  <c r="M9" i="8"/>
  <c r="M10" i="8"/>
  <c r="M8" i="8"/>
  <c r="M32" i="8"/>
  <c r="M33" i="8"/>
  <c r="M28" i="8"/>
  <c r="M30" i="8"/>
  <c r="M26" i="8"/>
  <c r="M25" i="8"/>
  <c r="M31" i="8"/>
  <c r="M29" i="8"/>
  <c r="M27" i="8"/>
  <c r="M21" i="8"/>
  <c r="M23" i="8"/>
  <c r="M24" i="8"/>
  <c r="M22" i="8"/>
  <c r="M18" i="8"/>
  <c r="M11" i="8"/>
  <c r="M12" i="8"/>
  <c r="M15" i="8"/>
  <c r="M14" i="8"/>
  <c r="M13" i="8"/>
  <c r="M17" i="8"/>
  <c r="M16" i="8"/>
  <c r="M20" i="8"/>
  <c r="M19" i="8"/>
  <c r="M34" i="8"/>
  <c r="M35" i="2" l="1"/>
  <c r="Q35" i="2" s="1"/>
  <c r="I90" i="5" s="1"/>
  <c r="M18" i="2" a="1"/>
  <c r="M18" i="2" s="1"/>
  <c r="Q18" i="2" s="1"/>
  <c r="M187" i="1"/>
  <c r="Q187" i="1" s="1"/>
  <c r="L97" i="5" s="1"/>
  <c r="Q97" i="5" s="1"/>
  <c r="O187" i="1"/>
  <c r="R187" i="1" s="1"/>
  <c r="M97" i="5" s="1"/>
  <c r="R97" i="5" s="1"/>
  <c r="M208" i="1"/>
  <c r="O202" i="1"/>
  <c r="O207" i="1" s="1"/>
  <c r="M111" i="1"/>
  <c r="O96" i="1"/>
  <c r="P96" i="1" s="1"/>
  <c r="M86" i="1" a="1"/>
  <c r="M86" i="1" s="1"/>
  <c r="Q86" i="1" s="1"/>
  <c r="Q357" i="1"/>
  <c r="L80" i="5" s="1"/>
  <c r="Q80" i="5" s="1"/>
  <c r="O357" i="1"/>
  <c r="R357" i="1" s="1"/>
  <c r="M80" i="5" s="1"/>
  <c r="R80" i="5" s="1"/>
  <c r="M367" i="1"/>
  <c r="Q367" i="1" s="1"/>
  <c r="O367" i="1"/>
  <c r="Q322" i="1"/>
  <c r="L96" i="5" s="1"/>
  <c r="Q96" i="5" s="1"/>
  <c r="O322" i="1"/>
  <c r="O118" i="1"/>
  <c r="O352" i="1"/>
  <c r="R352" i="1" s="1"/>
  <c r="M79" i="5" s="1"/>
  <c r="R79" i="5" s="1"/>
  <c r="P108" i="2"/>
  <c r="R108" i="2"/>
  <c r="Q13" i="2"/>
  <c r="I5" i="5" s="1"/>
  <c r="O25" i="2"/>
  <c r="Q25" i="2"/>
  <c r="I8" i="5" s="1"/>
  <c r="O30" i="2"/>
  <c r="O36" i="2" s="1"/>
  <c r="Q36" i="2"/>
  <c r="I89" i="5" s="1"/>
  <c r="Q30" i="2"/>
  <c r="O106" i="1"/>
  <c r="O111" i="1" s="1"/>
  <c r="O91" i="1"/>
  <c r="Q91" i="1"/>
  <c r="D49" i="5"/>
  <c r="O34" i="8"/>
  <c r="P34" i="8"/>
  <c r="K34" i="8"/>
  <c r="L34" i="8"/>
  <c r="J4" i="8"/>
  <c r="P4" i="8"/>
  <c r="O4" i="8"/>
  <c r="L4" i="8"/>
  <c r="K4" i="8"/>
  <c r="P33" i="8"/>
  <c r="L33" i="8"/>
  <c r="K7" i="8"/>
  <c r="J7" i="8" s="1"/>
  <c r="K6" i="8"/>
  <c r="J6" i="8" s="1"/>
  <c r="K5" i="8"/>
  <c r="J5" i="8" s="1"/>
  <c r="O18" i="2" l="1"/>
  <c r="P18" i="2" s="1"/>
  <c r="M24" i="2"/>
  <c r="Q24" i="2" s="1"/>
  <c r="I7" i="5" s="1"/>
  <c r="M23" i="2"/>
  <c r="Q23" i="2" s="1"/>
  <c r="I6" i="5" s="1"/>
  <c r="P187" i="1"/>
  <c r="P207" i="1"/>
  <c r="O208" i="1"/>
  <c r="R208" i="1" s="1"/>
  <c r="M47" i="5" s="1"/>
  <c r="R47" i="5" s="1"/>
  <c r="R96" i="1"/>
  <c r="M95" i="5" s="1"/>
  <c r="R95" i="5" s="1"/>
  <c r="O86" i="1"/>
  <c r="P86" i="1" s="1"/>
  <c r="P357" i="1"/>
  <c r="P367" i="1"/>
  <c r="R367" i="1"/>
  <c r="P322" i="1"/>
  <c r="R322" i="1"/>
  <c r="M96" i="5" s="1"/>
  <c r="R96" i="5" s="1"/>
  <c r="R118" i="1"/>
  <c r="M91" i="5" s="1"/>
  <c r="R91" i="5" s="1"/>
  <c r="P118" i="1"/>
  <c r="P352" i="1"/>
  <c r="R13" i="2"/>
  <c r="K5" i="5" s="1"/>
  <c r="R5" i="5" s="1"/>
  <c r="P13" i="2"/>
  <c r="R25" i="2"/>
  <c r="K8" i="5" s="1"/>
  <c r="P25" i="2"/>
  <c r="P35" i="2"/>
  <c r="R30" i="2"/>
  <c r="P36" i="2"/>
  <c r="O35" i="2"/>
  <c r="R35" i="2" s="1"/>
  <c r="K90" i="5" s="1"/>
  <c r="R90" i="5" s="1"/>
  <c r="P30" i="2"/>
  <c r="R36" i="2"/>
  <c r="K89" i="5" s="1"/>
  <c r="R89" i="5" s="1"/>
  <c r="O112" i="1"/>
  <c r="P91" i="1"/>
  <c r="R91" i="1"/>
  <c r="Q202" i="1"/>
  <c r="Q207" i="1"/>
  <c r="L46" i="5" s="1"/>
  <c r="Q46" i="5" s="1"/>
  <c r="S46" i="5" s="1"/>
  <c r="Q208" i="1"/>
  <c r="L47" i="5" s="1"/>
  <c r="Q47" i="5" s="1"/>
  <c r="S47" i="5" s="1"/>
  <c r="P208" i="1"/>
  <c r="Q106" i="1"/>
  <c r="Q111" i="1"/>
  <c r="Q112" i="1"/>
  <c r="P111" i="1"/>
  <c r="P112" i="1"/>
  <c r="R111" i="1"/>
  <c r="R202" i="1"/>
  <c r="P202" i="1"/>
  <c r="P106" i="1"/>
  <c r="R106" i="1"/>
  <c r="H28" i="8"/>
  <c r="H30" i="8"/>
  <c r="H26" i="8"/>
  <c r="H25" i="8"/>
  <c r="H31" i="8"/>
  <c r="H29" i="8"/>
  <c r="H27" i="8"/>
  <c r="H21" i="8"/>
  <c r="H23" i="8"/>
  <c r="H24" i="8"/>
  <c r="H22" i="8"/>
  <c r="H18" i="8"/>
  <c r="H11" i="8"/>
  <c r="H12" i="8"/>
  <c r="H15" i="8"/>
  <c r="H14" i="8"/>
  <c r="H13" i="8"/>
  <c r="H16" i="8"/>
  <c r="H20" i="8"/>
  <c r="H19" i="8"/>
  <c r="H32" i="8"/>
  <c r="D69" i="5"/>
  <c r="D17" i="5"/>
  <c r="J73" i="2"/>
  <c r="L73" i="2" s="1"/>
  <c r="I73" i="2"/>
  <c r="K73" i="2" s="1"/>
  <c r="O23" i="2" l="1"/>
  <c r="R23" i="2" s="1"/>
  <c r="K6" i="5" s="1"/>
  <c r="R6" i="5" s="1"/>
  <c r="P24" i="2"/>
  <c r="O24" i="2"/>
  <c r="R24" i="2" s="1"/>
  <c r="K7" i="5" s="1"/>
  <c r="R7" i="5" s="1"/>
  <c r="R18" i="2"/>
  <c r="P23" i="2"/>
  <c r="R86" i="1"/>
  <c r="R207" i="1"/>
  <c r="M46" i="5" s="1"/>
  <c r="R46" i="5" s="1"/>
  <c r="R112" i="1"/>
  <c r="O32" i="8"/>
  <c r="J72" i="2"/>
  <c r="L72" i="2" s="1"/>
  <c r="I72" i="2"/>
  <c r="K72" i="2" s="1"/>
  <c r="J71" i="2"/>
  <c r="L71" i="2" s="1"/>
  <c r="I71" i="2"/>
  <c r="K71" i="2" s="1"/>
  <c r="L5" i="8"/>
  <c r="P5" i="8"/>
  <c r="O5" i="8"/>
  <c r="L6" i="8"/>
  <c r="P6" i="8"/>
  <c r="O6" i="8"/>
  <c r="L7" i="8"/>
  <c r="P7" i="8"/>
  <c r="O7" i="8"/>
  <c r="K9" i="8"/>
  <c r="J9" i="8" s="1"/>
  <c r="L9" i="8"/>
  <c r="P9" i="8"/>
  <c r="O9" i="8"/>
  <c r="K10" i="8"/>
  <c r="J10" i="8" s="1"/>
  <c r="L10" i="8"/>
  <c r="P10" i="8"/>
  <c r="O10" i="8"/>
  <c r="K8" i="8"/>
  <c r="J8" i="8" s="1"/>
  <c r="L8" i="8"/>
  <c r="P8" i="8"/>
  <c r="O8" i="8"/>
  <c r="K32" i="8"/>
  <c r="L32" i="8"/>
  <c r="P32" i="8"/>
  <c r="K33" i="8"/>
  <c r="J33" i="8" s="1"/>
  <c r="O33" i="8"/>
  <c r="K28" i="8"/>
  <c r="J28" i="8" s="1"/>
  <c r="L28" i="8"/>
  <c r="P28" i="8"/>
  <c r="O28" i="8"/>
  <c r="K30" i="8"/>
  <c r="J30" i="8" s="1"/>
  <c r="L30" i="8"/>
  <c r="P30" i="8"/>
  <c r="O30" i="8"/>
  <c r="K26" i="8"/>
  <c r="J26" i="8" s="1"/>
  <c r="L26" i="8"/>
  <c r="P26" i="8"/>
  <c r="O26" i="8"/>
  <c r="K25" i="8"/>
  <c r="J25" i="8" s="1"/>
  <c r="L25" i="8"/>
  <c r="P25" i="8"/>
  <c r="O25" i="8"/>
  <c r="K31" i="8"/>
  <c r="J31" i="8" s="1"/>
  <c r="L31" i="8"/>
  <c r="P31" i="8"/>
  <c r="O31" i="8"/>
  <c r="K29" i="8"/>
  <c r="J29" i="8" s="1"/>
  <c r="L29" i="8"/>
  <c r="P29" i="8"/>
  <c r="O29" i="8"/>
  <c r="K27" i="8"/>
  <c r="J27" i="8" s="1"/>
  <c r="L27" i="8"/>
  <c r="P27" i="8"/>
  <c r="O27" i="8"/>
  <c r="K21" i="8"/>
  <c r="J21" i="8" s="1"/>
  <c r="L21" i="8"/>
  <c r="P21" i="8"/>
  <c r="O21" i="8"/>
  <c r="K23" i="8"/>
  <c r="J23" i="8" s="1"/>
  <c r="L23" i="8"/>
  <c r="P23" i="8"/>
  <c r="O23" i="8"/>
  <c r="K24" i="8"/>
  <c r="J24" i="8" s="1"/>
  <c r="L24" i="8"/>
  <c r="P24" i="8"/>
  <c r="O24" i="8"/>
  <c r="K22" i="8"/>
  <c r="J22" i="8" s="1"/>
  <c r="L22" i="8"/>
  <c r="P22" i="8"/>
  <c r="O22" i="8"/>
  <c r="K18" i="8"/>
  <c r="J18" i="8" s="1"/>
  <c r="L18" i="8"/>
  <c r="P18" i="8"/>
  <c r="O18" i="8"/>
  <c r="K11" i="8"/>
  <c r="J11" i="8" s="1"/>
  <c r="L11" i="8"/>
  <c r="P11" i="8"/>
  <c r="O11" i="8"/>
  <c r="K12" i="8"/>
  <c r="J12" i="8" s="1"/>
  <c r="L12" i="8"/>
  <c r="P12" i="8"/>
  <c r="O12" i="8"/>
  <c r="K15" i="8"/>
  <c r="J15" i="8" s="1"/>
  <c r="L15" i="8"/>
  <c r="P15" i="8"/>
  <c r="O15" i="8"/>
  <c r="K14" i="8"/>
  <c r="J14" i="8" s="1"/>
  <c r="L14" i="8"/>
  <c r="P14" i="8"/>
  <c r="O14" i="8"/>
  <c r="K13" i="8"/>
  <c r="J13" i="8" s="1"/>
  <c r="L13" i="8"/>
  <c r="P13" i="8"/>
  <c r="O13" i="8"/>
  <c r="K17" i="8"/>
  <c r="J17" i="8" s="1"/>
  <c r="L17" i="8"/>
  <c r="P17" i="8"/>
  <c r="O17" i="8"/>
  <c r="K16" i="8"/>
  <c r="J16" i="8" s="1"/>
  <c r="L16" i="8"/>
  <c r="P16" i="8"/>
  <c r="O16" i="8"/>
  <c r="K20" i="8"/>
  <c r="J20" i="8" s="1"/>
  <c r="L20" i="8"/>
  <c r="P20" i="8"/>
  <c r="O20" i="8"/>
  <c r="K19" i="8"/>
  <c r="J19" i="8" s="1"/>
  <c r="L19" i="8"/>
  <c r="P19" i="8"/>
  <c r="O19" i="8"/>
  <c r="D37" i="5"/>
  <c r="J25" i="12"/>
  <c r="L25" i="12" s="1"/>
  <c r="I25" i="12"/>
  <c r="K25" i="12" s="1"/>
  <c r="J24" i="12"/>
  <c r="L24" i="12" s="1"/>
  <c r="I24" i="12"/>
  <c r="K24" i="12" s="1"/>
  <c r="J23" i="12"/>
  <c r="L23" i="12" s="1"/>
  <c r="I23" i="12"/>
  <c r="K23" i="12" s="1"/>
  <c r="M23" i="12" s="1" a="1"/>
  <c r="M23" i="12" s="1"/>
  <c r="Q23" i="12" s="1"/>
  <c r="J20" i="12"/>
  <c r="L20" i="12" s="1"/>
  <c r="I20" i="12"/>
  <c r="K20" i="12" s="1"/>
  <c r="J19" i="12"/>
  <c r="L19" i="12" s="1"/>
  <c r="I19" i="12"/>
  <c r="K19" i="12" s="1"/>
  <c r="J18" i="12"/>
  <c r="L18" i="12" s="1"/>
  <c r="I18" i="12"/>
  <c r="K18" i="12" s="1"/>
  <c r="M71" i="2" l="1" a="1"/>
  <c r="M71" i="2" s="1"/>
  <c r="Q71" i="2" s="1"/>
  <c r="I17" i="5" s="1"/>
  <c r="J32" i="8"/>
  <c r="O23" i="12"/>
  <c r="R23" i="12" s="1"/>
  <c r="M18" i="12" a="1"/>
  <c r="O71" i="2" l="1"/>
  <c r="P71" i="2" s="1"/>
  <c r="P23" i="12"/>
  <c r="M18" i="12"/>
  <c r="Q18" i="12" s="1"/>
  <c r="O18" i="12"/>
  <c r="R18" i="12" s="1"/>
  <c r="R71" i="2" l="1"/>
  <c r="K17" i="5" s="1"/>
  <c r="R17" i="5" s="1"/>
  <c r="P18" i="12"/>
  <c r="I15" i="12" l="1"/>
  <c r="K15" i="12" s="1"/>
  <c r="J15" i="12"/>
  <c r="L15" i="12" s="1"/>
  <c r="I10" i="12"/>
  <c r="K10" i="12" s="1"/>
  <c r="J10" i="12"/>
  <c r="L10" i="12" s="1"/>
  <c r="I5" i="12"/>
  <c r="K5" i="12" s="1"/>
  <c r="J5" i="12"/>
  <c r="L5" i="12" s="1"/>
  <c r="J14" i="12"/>
  <c r="L14" i="12" s="1"/>
  <c r="I14" i="12"/>
  <c r="K14" i="12" s="1"/>
  <c r="J13" i="12"/>
  <c r="L13" i="12" s="1"/>
  <c r="I13" i="12"/>
  <c r="K13" i="12" s="1"/>
  <c r="J9" i="12"/>
  <c r="L9" i="12" s="1"/>
  <c r="I9" i="12"/>
  <c r="K9" i="12" s="1"/>
  <c r="J8" i="12"/>
  <c r="L8" i="12" s="1"/>
  <c r="I8" i="12"/>
  <c r="K8" i="12" s="1"/>
  <c r="J4" i="12"/>
  <c r="L4" i="12" s="1"/>
  <c r="I4" i="12"/>
  <c r="K4" i="12" s="1"/>
  <c r="J3" i="12"/>
  <c r="L3" i="12" s="1"/>
  <c r="I3" i="12"/>
  <c r="K3" i="12" s="1"/>
  <c r="D81" i="5"/>
  <c r="D85" i="5"/>
  <c r="D84" i="5"/>
  <c r="D83" i="5"/>
  <c r="D82" i="5"/>
  <c r="D78" i="5"/>
  <c r="D86" i="5"/>
  <c r="D77" i="5"/>
  <c r="D76" i="5"/>
  <c r="D75" i="5"/>
  <c r="D74" i="5"/>
  <c r="D73" i="5"/>
  <c r="D72" i="5"/>
  <c r="D71" i="5"/>
  <c r="D70" i="5"/>
  <c r="D68" i="5"/>
  <c r="D67" i="5"/>
  <c r="D66" i="5"/>
  <c r="D65" i="5"/>
  <c r="D63" i="5"/>
  <c r="D62" i="5"/>
  <c r="D61" i="5"/>
  <c r="D60" i="5"/>
  <c r="D59" i="5"/>
  <c r="D58" i="5"/>
  <c r="D57" i="5"/>
  <c r="D56" i="5"/>
  <c r="D55" i="5"/>
  <c r="D54" i="5"/>
  <c r="D52" i="5"/>
  <c r="D50" i="5"/>
  <c r="D48" i="5"/>
  <c r="D45" i="5"/>
  <c r="D44" i="5"/>
  <c r="D43" i="5"/>
  <c r="D42" i="5"/>
  <c r="D41" i="5"/>
  <c r="D40" i="5"/>
  <c r="D39" i="5"/>
  <c r="D38" i="5"/>
  <c r="D36" i="5"/>
  <c r="D34" i="5"/>
  <c r="D33" i="5"/>
  <c r="D32" i="5"/>
  <c r="D31" i="5"/>
  <c r="D30" i="5"/>
  <c r="D29" i="5"/>
  <c r="D28" i="5"/>
  <c r="D26" i="5"/>
  <c r="D25" i="5"/>
  <c r="D22" i="5"/>
  <c r="D21" i="5"/>
  <c r="D20" i="5"/>
  <c r="D19" i="5"/>
  <c r="D16" i="5"/>
  <c r="D18" i="5"/>
  <c r="D15" i="5"/>
  <c r="D14" i="5"/>
  <c r="D13" i="5"/>
  <c r="D12" i="5"/>
  <c r="D11" i="5"/>
  <c r="J4" i="2"/>
  <c r="I3" i="2"/>
  <c r="I4" i="2"/>
  <c r="D10" i="5"/>
  <c r="D9" i="5"/>
  <c r="D4" i="5"/>
  <c r="D3" i="5"/>
  <c r="M3" i="12" l="1" a="1"/>
  <c r="M3" i="12" s="1"/>
  <c r="M13" i="12" a="1"/>
  <c r="M13" i="12" s="1"/>
  <c r="M8" i="12" a="1"/>
  <c r="M8" i="12" s="1"/>
  <c r="Q8" i="12" s="1"/>
  <c r="O13" i="12" l="1"/>
  <c r="O8" i="12"/>
  <c r="P8" i="12" s="1"/>
  <c r="O3" i="12"/>
  <c r="Q13" i="12"/>
  <c r="Q3" i="12"/>
  <c r="R8" i="12" l="1"/>
  <c r="R3" i="12"/>
  <c r="P3" i="12"/>
  <c r="R13" i="12"/>
  <c r="P13" i="12"/>
  <c r="I250" i="1" l="1"/>
  <c r="K250" i="1" s="1"/>
  <c r="J250" i="1"/>
  <c r="L250" i="1" s="1"/>
  <c r="I165" i="1"/>
  <c r="K165" i="1" s="1"/>
  <c r="J165" i="1"/>
  <c r="L165" i="1" s="1"/>
  <c r="I166" i="1"/>
  <c r="K166" i="1" s="1"/>
  <c r="J166" i="1"/>
  <c r="L166" i="1" s="1"/>
  <c r="I167" i="1"/>
  <c r="K167" i="1" s="1"/>
  <c r="J167" i="1"/>
  <c r="L167" i="1" s="1"/>
  <c r="I283" i="1"/>
  <c r="K283" i="1" s="1"/>
  <c r="J283" i="1"/>
  <c r="L283" i="1" s="1"/>
  <c r="I284" i="1"/>
  <c r="K284" i="1" s="1"/>
  <c r="J284" i="1"/>
  <c r="L284" i="1" s="1"/>
  <c r="I285" i="1"/>
  <c r="K285" i="1" s="1"/>
  <c r="J285" i="1"/>
  <c r="L285" i="1" s="1"/>
  <c r="I263" i="1"/>
  <c r="K263" i="1" s="1"/>
  <c r="J263" i="1"/>
  <c r="L263" i="1" s="1"/>
  <c r="I264" i="1"/>
  <c r="K264" i="1" s="1"/>
  <c r="J264" i="1"/>
  <c r="L264" i="1" s="1"/>
  <c r="I265" i="1"/>
  <c r="K265" i="1" s="1"/>
  <c r="J265" i="1"/>
  <c r="L265" i="1" s="1"/>
  <c r="I248" i="1"/>
  <c r="K248" i="1" s="1"/>
  <c r="J248" i="1"/>
  <c r="L248" i="1" s="1"/>
  <c r="I249" i="1"/>
  <c r="K249" i="1" s="1"/>
  <c r="J249" i="1"/>
  <c r="L249" i="1" s="1"/>
  <c r="M283" i="1" l="1" a="1"/>
  <c r="O283" i="1" s="1"/>
  <c r="M165" i="1" a="1"/>
  <c r="O165" i="1" s="1"/>
  <c r="M248" i="1" a="1"/>
  <c r="M263" i="1" a="1"/>
  <c r="O263" i="1" s="1"/>
  <c r="M248" i="1" l="1"/>
  <c r="Q248" i="1" s="1"/>
  <c r="L56" i="5" s="1"/>
  <c r="Q56" i="5" s="1"/>
  <c r="S56" i="5" s="1"/>
  <c r="O248" i="1"/>
  <c r="M165" i="1"/>
  <c r="Q165" i="1" s="1"/>
  <c r="L39" i="5" s="1"/>
  <c r="Q39" i="5" s="1"/>
  <c r="M283" i="1"/>
  <c r="Q283" i="1" s="1"/>
  <c r="L63" i="5" s="1"/>
  <c r="Q63" i="5" s="1"/>
  <c r="S63" i="5" s="1"/>
  <c r="M263" i="1"/>
  <c r="Q263" i="1" s="1"/>
  <c r="L59" i="5" s="1"/>
  <c r="Q59" i="5" s="1"/>
  <c r="S59" i="5" s="1"/>
  <c r="P165" i="1" l="1"/>
  <c r="R165" i="1"/>
  <c r="M39" i="5" s="1"/>
  <c r="R39" i="5" s="1"/>
  <c r="R283" i="1"/>
  <c r="M63" i="5" s="1"/>
  <c r="R63" i="5" s="1"/>
  <c r="P283" i="1"/>
  <c r="P263" i="1"/>
  <c r="R263" i="1"/>
  <c r="M59" i="5" s="1"/>
  <c r="R59" i="5" s="1"/>
  <c r="R248" i="1"/>
  <c r="M56" i="5" s="1"/>
  <c r="R56" i="5" s="1"/>
  <c r="P248" i="1"/>
  <c r="I228" i="1" l="1"/>
  <c r="K228" i="1" s="1"/>
  <c r="J228" i="1"/>
  <c r="L228" i="1" s="1"/>
  <c r="I226" i="1"/>
  <c r="K226" i="1" s="1"/>
  <c r="J226" i="1"/>
  <c r="L226" i="1" s="1"/>
  <c r="J48" i="2"/>
  <c r="L48" i="2" s="1"/>
  <c r="J49" i="2"/>
  <c r="L49" i="2" s="1"/>
  <c r="J50" i="2"/>
  <c r="L50" i="2" s="1"/>
  <c r="J51" i="2"/>
  <c r="L51" i="2" s="1"/>
  <c r="I48" i="2"/>
  <c r="K48" i="2" s="1"/>
  <c r="I49" i="2"/>
  <c r="K49" i="2" s="1"/>
  <c r="I50" i="2"/>
  <c r="K50" i="2" s="1"/>
  <c r="I51" i="2"/>
  <c r="K51" i="2" s="1"/>
  <c r="J100" i="2"/>
  <c r="L100" i="2" s="1"/>
  <c r="I100" i="2"/>
  <c r="K100" i="2" s="1"/>
  <c r="J99" i="2"/>
  <c r="L99" i="2" s="1"/>
  <c r="I99" i="2"/>
  <c r="K99" i="2" s="1"/>
  <c r="J98" i="2"/>
  <c r="L98" i="2" s="1"/>
  <c r="I98" i="2"/>
  <c r="K98" i="2" s="1"/>
  <c r="M98" i="2" l="1" a="1"/>
  <c r="M98" i="2" l="1"/>
  <c r="Q98" i="2" s="1"/>
  <c r="I31" i="5" s="1"/>
  <c r="O98" i="2"/>
  <c r="P98" i="2" s="1"/>
  <c r="R98" i="2" l="1"/>
  <c r="K31" i="5" s="1"/>
  <c r="I103" i="2"/>
  <c r="K103" i="2" s="1"/>
  <c r="J103" i="2"/>
  <c r="L103" i="2" s="1"/>
  <c r="I104" i="2"/>
  <c r="K104" i="2" s="1"/>
  <c r="J104" i="2"/>
  <c r="L104" i="2" s="1"/>
  <c r="I105" i="2"/>
  <c r="K105" i="2" s="1"/>
  <c r="J105" i="2"/>
  <c r="L105" i="2" s="1"/>
  <c r="S39" i="5"/>
  <c r="M103" i="2" l="1" a="1"/>
  <c r="O103" i="2" s="1"/>
  <c r="J211" i="1"/>
  <c r="L211" i="1" s="1"/>
  <c r="J210" i="1"/>
  <c r="L210" i="1" s="1"/>
  <c r="J209" i="1"/>
  <c r="L209" i="1" s="1"/>
  <c r="I211" i="1"/>
  <c r="K211" i="1" s="1"/>
  <c r="I210" i="1"/>
  <c r="K210" i="1" s="1"/>
  <c r="I209" i="1"/>
  <c r="K209" i="1" s="1"/>
  <c r="J223" i="1"/>
  <c r="L223" i="1" s="1"/>
  <c r="I223" i="1"/>
  <c r="K223" i="1" s="1"/>
  <c r="J222" i="1"/>
  <c r="L222" i="1" s="1"/>
  <c r="I222" i="1"/>
  <c r="K222" i="1" s="1"/>
  <c r="J221" i="1"/>
  <c r="L221" i="1" s="1"/>
  <c r="I221" i="1"/>
  <c r="K221" i="1" s="1"/>
  <c r="J199" i="1"/>
  <c r="L199" i="1" s="1"/>
  <c r="I199" i="1"/>
  <c r="K199" i="1" s="1"/>
  <c r="J198" i="1"/>
  <c r="L198" i="1" s="1"/>
  <c r="I198" i="1"/>
  <c r="K198" i="1" s="1"/>
  <c r="J197" i="1"/>
  <c r="L197" i="1" s="1"/>
  <c r="I197" i="1"/>
  <c r="K197" i="1" s="1"/>
  <c r="J339" i="1"/>
  <c r="L339" i="1" s="1"/>
  <c r="I339" i="1"/>
  <c r="K339" i="1" s="1"/>
  <c r="J338" i="1"/>
  <c r="L338" i="1" s="1"/>
  <c r="I338" i="1"/>
  <c r="K338" i="1" s="1"/>
  <c r="J337" i="1"/>
  <c r="L337" i="1" s="1"/>
  <c r="I337" i="1"/>
  <c r="K337" i="1" s="1"/>
  <c r="M103" i="2" l="1"/>
  <c r="Q103" i="2" s="1"/>
  <c r="M209" i="1" a="1"/>
  <c r="O209" i="1" s="1"/>
  <c r="M221" i="1" a="1"/>
  <c r="O221" i="1" s="1"/>
  <c r="M197" i="1" a="1"/>
  <c r="M337" i="1" a="1"/>
  <c r="O215" i="1" l="1"/>
  <c r="O214" i="1"/>
  <c r="P103" i="2"/>
  <c r="M337" i="1"/>
  <c r="Q337" i="1" s="1"/>
  <c r="L75" i="5" s="1"/>
  <c r="Q75" i="5" s="1"/>
  <c r="S75" i="5" s="1"/>
  <c r="O337" i="1"/>
  <c r="M209" i="1"/>
  <c r="P209" i="1" s="1"/>
  <c r="M197" i="1"/>
  <c r="Q197" i="1" s="1"/>
  <c r="L45" i="5" s="1"/>
  <c r="O197" i="1"/>
  <c r="M221" i="1"/>
  <c r="Q221" i="1" s="1"/>
  <c r="L51" i="5" s="1"/>
  <c r="Q51" i="5" s="1"/>
  <c r="S51" i="5" s="1"/>
  <c r="R103" i="2"/>
  <c r="R197" i="1" l="1"/>
  <c r="Q209" i="1"/>
  <c r="M214" i="1"/>
  <c r="Q214" i="1" s="1"/>
  <c r="L48" i="5" s="1"/>
  <c r="Q48" i="5" s="1"/>
  <c r="S48" i="5" s="1"/>
  <c r="M215" i="1"/>
  <c r="Q215" i="1" s="1"/>
  <c r="L49" i="5" s="1"/>
  <c r="Q49" i="5" s="1"/>
  <c r="S49" i="5" s="1"/>
  <c r="P214" i="1"/>
  <c r="P215" i="1"/>
  <c r="R215" i="1"/>
  <c r="M49" i="5" s="1"/>
  <c r="R49" i="5" s="1"/>
  <c r="P221" i="1"/>
  <c r="P337" i="1"/>
  <c r="P197" i="1"/>
  <c r="R221" i="1"/>
  <c r="R337" i="1"/>
  <c r="M75" i="5" s="1"/>
  <c r="R75" i="5" s="1"/>
  <c r="R209" i="1"/>
  <c r="R214" i="1" l="1"/>
  <c r="M48" i="5" s="1"/>
  <c r="R48" i="5" s="1"/>
  <c r="M51" i="5"/>
  <c r="R51" i="5" s="1"/>
  <c r="J47" i="2"/>
  <c r="L47" i="2" s="1"/>
  <c r="I47" i="2"/>
  <c r="K47" i="2" s="1"/>
  <c r="J93" i="2"/>
  <c r="L93" i="2" s="1"/>
  <c r="I91" i="2"/>
  <c r="K91" i="2" s="1"/>
  <c r="J91" i="2"/>
  <c r="L91" i="2" s="1"/>
  <c r="I92" i="2"/>
  <c r="K92" i="2" s="1"/>
  <c r="J92" i="2"/>
  <c r="L92" i="2" s="1"/>
  <c r="I93" i="2"/>
  <c r="K93" i="2" s="1"/>
  <c r="I89" i="2"/>
  <c r="K89" i="2" s="1"/>
  <c r="J89" i="2"/>
  <c r="L89" i="2" s="1"/>
  <c r="I90" i="2"/>
  <c r="K90" i="2" s="1"/>
  <c r="J90" i="2"/>
  <c r="L90" i="2" s="1"/>
  <c r="I86" i="2"/>
  <c r="K86" i="2" s="1"/>
  <c r="J86" i="2"/>
  <c r="L86" i="2" s="1"/>
  <c r="I87" i="2"/>
  <c r="K87" i="2" s="1"/>
  <c r="J87" i="2"/>
  <c r="L87" i="2" s="1"/>
  <c r="I88" i="2"/>
  <c r="K88" i="2" s="1"/>
  <c r="J88" i="2"/>
  <c r="L88" i="2" s="1"/>
  <c r="I54" i="2"/>
  <c r="K54" i="2" s="1"/>
  <c r="J54" i="2"/>
  <c r="L54" i="2" s="1"/>
  <c r="I55" i="2"/>
  <c r="K55" i="2" s="1"/>
  <c r="J55" i="2"/>
  <c r="L55" i="2" s="1"/>
  <c r="I56" i="2"/>
  <c r="K56" i="2" s="1"/>
  <c r="J56" i="2"/>
  <c r="L56" i="2" s="1"/>
  <c r="I66" i="2"/>
  <c r="K66" i="2" s="1"/>
  <c r="J66" i="2"/>
  <c r="L66" i="2" s="1"/>
  <c r="I67" i="2"/>
  <c r="K67" i="2" s="1"/>
  <c r="J67" i="2"/>
  <c r="L67" i="2" s="1"/>
  <c r="I68" i="2"/>
  <c r="K68" i="2" s="1"/>
  <c r="J68" i="2"/>
  <c r="L68" i="2" s="1"/>
  <c r="I37" i="2"/>
  <c r="K37" i="2" s="1"/>
  <c r="J37" i="2"/>
  <c r="L37" i="2" s="1"/>
  <c r="I38" i="2"/>
  <c r="K38" i="2" s="1"/>
  <c r="J38" i="2"/>
  <c r="L38" i="2" s="1"/>
  <c r="I39" i="2"/>
  <c r="K39" i="2" s="1"/>
  <c r="J39" i="2"/>
  <c r="L39" i="2" s="1"/>
  <c r="I59" i="2"/>
  <c r="K59" i="2" s="1"/>
  <c r="J59" i="2"/>
  <c r="L59" i="2" s="1"/>
  <c r="I60" i="2"/>
  <c r="K60" i="2" s="1"/>
  <c r="J60" i="2"/>
  <c r="L60" i="2" s="1"/>
  <c r="I61" i="2"/>
  <c r="K61" i="2" s="1"/>
  <c r="J61" i="2"/>
  <c r="L61" i="2" s="1"/>
  <c r="I155" i="1"/>
  <c r="K155" i="1" s="1"/>
  <c r="J155" i="1"/>
  <c r="L155" i="1" s="1"/>
  <c r="I156" i="1"/>
  <c r="K156" i="1" s="1"/>
  <c r="J156" i="1"/>
  <c r="L156" i="1" s="1"/>
  <c r="I157" i="1"/>
  <c r="K157" i="1" s="1"/>
  <c r="J157" i="1"/>
  <c r="L157" i="1" s="1"/>
  <c r="I253" i="1"/>
  <c r="K253" i="1" s="1"/>
  <c r="J253" i="1"/>
  <c r="L253" i="1" s="1"/>
  <c r="I254" i="1"/>
  <c r="K254" i="1" s="1"/>
  <c r="J254" i="1"/>
  <c r="L254" i="1" s="1"/>
  <c r="I255" i="1"/>
  <c r="K255" i="1" s="1"/>
  <c r="J255" i="1"/>
  <c r="L255" i="1" s="1"/>
  <c r="I268" i="1"/>
  <c r="K268" i="1" s="1"/>
  <c r="J268" i="1"/>
  <c r="L268" i="1" s="1"/>
  <c r="I269" i="1"/>
  <c r="K269" i="1" s="1"/>
  <c r="J269" i="1"/>
  <c r="L269" i="1" s="1"/>
  <c r="I270" i="1"/>
  <c r="K270" i="1" s="1"/>
  <c r="J270" i="1"/>
  <c r="L270" i="1" s="1"/>
  <c r="I81" i="1"/>
  <c r="K81" i="1" s="1"/>
  <c r="J81" i="1"/>
  <c r="L81" i="1" s="1"/>
  <c r="I82" i="1"/>
  <c r="K82" i="1" s="1"/>
  <c r="J82" i="1"/>
  <c r="L82" i="1" s="1"/>
  <c r="I83" i="1"/>
  <c r="K83" i="1" s="1"/>
  <c r="J83" i="1"/>
  <c r="L83" i="1" s="1"/>
  <c r="I150" i="1"/>
  <c r="K150" i="1" s="1"/>
  <c r="J150" i="1"/>
  <c r="L150" i="1" s="1"/>
  <c r="I151" i="1"/>
  <c r="K151" i="1" s="1"/>
  <c r="J151" i="1"/>
  <c r="L151" i="1" s="1"/>
  <c r="I152" i="1"/>
  <c r="K152" i="1" s="1"/>
  <c r="J152" i="1"/>
  <c r="L152" i="1" s="1"/>
  <c r="I44" i="1"/>
  <c r="K44" i="1" s="1"/>
  <c r="J44" i="1"/>
  <c r="L44" i="1" s="1"/>
  <c r="I45" i="1"/>
  <c r="K45" i="1" s="1"/>
  <c r="J45" i="1"/>
  <c r="L45" i="1" s="1"/>
  <c r="I46" i="1"/>
  <c r="K46" i="1" s="1"/>
  <c r="J46" i="1"/>
  <c r="L46" i="1" s="1"/>
  <c r="I288" i="1"/>
  <c r="K288" i="1" s="1"/>
  <c r="J288" i="1"/>
  <c r="L288" i="1" s="1"/>
  <c r="I289" i="1"/>
  <c r="K289" i="1" s="1"/>
  <c r="J289" i="1"/>
  <c r="L289" i="1" s="1"/>
  <c r="I332" i="1"/>
  <c r="K332" i="1" s="1"/>
  <c r="J332" i="1"/>
  <c r="L332" i="1" s="1"/>
  <c r="I333" i="1"/>
  <c r="K333" i="1" s="1"/>
  <c r="J333" i="1"/>
  <c r="L333" i="1" s="1"/>
  <c r="I327" i="1"/>
  <c r="K327" i="1" s="1"/>
  <c r="J327" i="1"/>
  <c r="L327" i="1" s="1"/>
  <c r="I328" i="1"/>
  <c r="K328" i="1" s="1"/>
  <c r="J328" i="1"/>
  <c r="L328" i="1" s="1"/>
  <c r="I329" i="1"/>
  <c r="K329" i="1" s="1"/>
  <c r="J329" i="1"/>
  <c r="L329" i="1" s="1"/>
  <c r="I342" i="1"/>
  <c r="K342" i="1" s="1"/>
  <c r="J342" i="1"/>
  <c r="L342" i="1" s="1"/>
  <c r="I343" i="1"/>
  <c r="K343" i="1" s="1"/>
  <c r="J343" i="1"/>
  <c r="L343" i="1" s="1"/>
  <c r="I344" i="1"/>
  <c r="K344" i="1" s="1"/>
  <c r="J344" i="1"/>
  <c r="L344" i="1" s="1"/>
  <c r="I293" i="1"/>
  <c r="K293" i="1" s="1"/>
  <c r="J293" i="1"/>
  <c r="L293" i="1" s="1"/>
  <c r="I294" i="1"/>
  <c r="K294" i="1" s="1"/>
  <c r="J294" i="1"/>
  <c r="L294" i="1" s="1"/>
  <c r="I295" i="1"/>
  <c r="K295" i="1" s="1"/>
  <c r="J295" i="1"/>
  <c r="L295" i="1" s="1"/>
  <c r="I258" i="1"/>
  <c r="K258" i="1" s="1"/>
  <c r="J258" i="1"/>
  <c r="L258" i="1" s="1"/>
  <c r="I259" i="1"/>
  <c r="K259" i="1" s="1"/>
  <c r="J259" i="1"/>
  <c r="L259" i="1" s="1"/>
  <c r="I260" i="1"/>
  <c r="K260" i="1" s="1"/>
  <c r="J260" i="1"/>
  <c r="L260" i="1" s="1"/>
  <c r="K3" i="2"/>
  <c r="J3" i="2"/>
  <c r="L3" i="2" s="1"/>
  <c r="K4" i="2"/>
  <c r="L4" i="2"/>
  <c r="I5" i="2"/>
  <c r="K5" i="2" s="1"/>
  <c r="J5" i="2"/>
  <c r="L5" i="2" s="1"/>
  <c r="J8" i="2"/>
  <c r="L8" i="2" s="1"/>
  <c r="J9" i="2"/>
  <c r="L9" i="2" s="1"/>
  <c r="J10" i="2"/>
  <c r="L10" i="2" s="1"/>
  <c r="I78" i="1"/>
  <c r="K78" i="1" s="1"/>
  <c r="J78" i="1"/>
  <c r="L78" i="1" s="1"/>
  <c r="I76" i="1"/>
  <c r="K76" i="1" s="1"/>
  <c r="J76" i="1"/>
  <c r="L76" i="1" s="1"/>
  <c r="I77" i="1"/>
  <c r="K77" i="1" s="1"/>
  <c r="J77" i="1"/>
  <c r="L77" i="1" s="1"/>
  <c r="I298" i="1"/>
  <c r="K298" i="1" s="1"/>
  <c r="J298" i="1"/>
  <c r="L298" i="1" s="1"/>
  <c r="I299" i="1"/>
  <c r="K299" i="1" s="1"/>
  <c r="J299" i="1"/>
  <c r="L299" i="1" s="1"/>
  <c r="I300" i="1"/>
  <c r="K300" i="1" s="1"/>
  <c r="J300" i="1"/>
  <c r="L300" i="1" s="1"/>
  <c r="J25" i="4"/>
  <c r="L25" i="4" s="1"/>
  <c r="I23" i="4"/>
  <c r="K23" i="4" s="1"/>
  <c r="J23" i="4"/>
  <c r="L23" i="4" s="1"/>
  <c r="I24" i="4"/>
  <c r="K24" i="4" s="1"/>
  <c r="J24" i="4"/>
  <c r="L24" i="4" s="1"/>
  <c r="I25" i="4"/>
  <c r="K25" i="4" s="1"/>
  <c r="I347" i="1"/>
  <c r="K347" i="1" s="1"/>
  <c r="J347" i="1"/>
  <c r="L347" i="1" s="1"/>
  <c r="I348" i="1"/>
  <c r="K348" i="1" s="1"/>
  <c r="J348" i="1"/>
  <c r="L348" i="1" s="1"/>
  <c r="I349" i="1"/>
  <c r="K349" i="1" s="1"/>
  <c r="J349" i="1"/>
  <c r="L349" i="1" s="1"/>
  <c r="I30" i="4"/>
  <c r="K30" i="4" s="1"/>
  <c r="J30" i="4"/>
  <c r="L30" i="4" s="1"/>
  <c r="I31" i="4"/>
  <c r="K31" i="4" s="1"/>
  <c r="J31" i="4"/>
  <c r="L31" i="4" s="1"/>
  <c r="I32" i="4"/>
  <c r="K32" i="4" s="1"/>
  <c r="J32" i="4"/>
  <c r="L32" i="4" s="1"/>
  <c r="I18" i="4"/>
  <c r="K18" i="4" s="1"/>
  <c r="J18" i="4"/>
  <c r="L18" i="4" s="1"/>
  <c r="I19" i="4"/>
  <c r="K19" i="4" s="1"/>
  <c r="J19" i="4"/>
  <c r="L19" i="4" s="1"/>
  <c r="I20" i="4"/>
  <c r="K20" i="4" s="1"/>
  <c r="J20" i="4"/>
  <c r="L20" i="4" s="1"/>
  <c r="I273" i="1"/>
  <c r="K273" i="1" s="1"/>
  <c r="J273" i="1"/>
  <c r="L273" i="1" s="1"/>
  <c r="I274" i="1"/>
  <c r="K274" i="1" s="1"/>
  <c r="J274" i="1"/>
  <c r="L274" i="1" s="1"/>
  <c r="I275" i="1"/>
  <c r="K275" i="1" s="1"/>
  <c r="J275" i="1"/>
  <c r="L275" i="1" s="1"/>
  <c r="J170" i="1"/>
  <c r="L170" i="1" s="1"/>
  <c r="J171" i="1"/>
  <c r="L171" i="1" s="1"/>
  <c r="J172" i="1"/>
  <c r="L172" i="1" s="1"/>
  <c r="I170" i="1"/>
  <c r="K170" i="1" s="1"/>
  <c r="I171" i="1"/>
  <c r="K171" i="1" s="1"/>
  <c r="I172" i="1"/>
  <c r="K172" i="1" s="1"/>
  <c r="I49" i="1"/>
  <c r="K49" i="1" s="1"/>
  <c r="J49" i="1"/>
  <c r="L49" i="1" s="1"/>
  <c r="I50" i="1"/>
  <c r="K50" i="1" s="1"/>
  <c r="J50" i="1"/>
  <c r="L50" i="1" s="1"/>
  <c r="I22" i="1"/>
  <c r="K22" i="1" s="1"/>
  <c r="J22" i="1"/>
  <c r="L22" i="1" s="1"/>
  <c r="I23" i="1"/>
  <c r="K23" i="1" s="1"/>
  <c r="J23" i="1"/>
  <c r="L23" i="1" s="1"/>
  <c r="I128" i="1"/>
  <c r="K128" i="1" s="1"/>
  <c r="J128" i="1"/>
  <c r="L128" i="1" s="1"/>
  <c r="I129" i="1"/>
  <c r="K129" i="1" s="1"/>
  <c r="J129" i="1"/>
  <c r="L129" i="1" s="1"/>
  <c r="I130" i="1"/>
  <c r="K130" i="1" s="1"/>
  <c r="J130" i="1"/>
  <c r="L130" i="1" s="1"/>
  <c r="I133" i="1"/>
  <c r="K133" i="1" s="1"/>
  <c r="J133" i="1"/>
  <c r="L133" i="1" s="1"/>
  <c r="I134" i="1"/>
  <c r="K134" i="1" s="1"/>
  <c r="J134" i="1"/>
  <c r="L134" i="1" s="1"/>
  <c r="I135" i="1"/>
  <c r="K135" i="1" s="1"/>
  <c r="J135" i="1"/>
  <c r="L135" i="1" s="1"/>
  <c r="Q64" i="5"/>
  <c r="S64" i="5" s="1"/>
  <c r="I113" i="1"/>
  <c r="K113" i="1" s="1"/>
  <c r="J113" i="1"/>
  <c r="L113" i="1" s="1"/>
  <c r="I114" i="1"/>
  <c r="K114" i="1" s="1"/>
  <c r="J114" i="1"/>
  <c r="L114" i="1" s="1"/>
  <c r="I231" i="1"/>
  <c r="K231" i="1" s="1"/>
  <c r="J231" i="1"/>
  <c r="L231" i="1" s="1"/>
  <c r="I232" i="1"/>
  <c r="K232" i="1" s="1"/>
  <c r="J232" i="1"/>
  <c r="L232" i="1" s="1"/>
  <c r="I227" i="1"/>
  <c r="K227" i="1" s="1"/>
  <c r="J227" i="1"/>
  <c r="L227" i="1" s="1"/>
  <c r="I229" i="1"/>
  <c r="K229" i="1" s="1"/>
  <c r="J229" i="1"/>
  <c r="L229" i="1" s="1"/>
  <c r="I230" i="1"/>
  <c r="K230" i="1" s="1"/>
  <c r="J230" i="1"/>
  <c r="L230" i="1" s="1"/>
  <c r="I195" i="1"/>
  <c r="K195" i="1" s="1"/>
  <c r="J195" i="1"/>
  <c r="L195" i="1" s="1"/>
  <c r="I196" i="1"/>
  <c r="K196" i="1" s="1"/>
  <c r="J196" i="1"/>
  <c r="L196" i="1" s="1"/>
  <c r="I192" i="1"/>
  <c r="K192" i="1" s="1"/>
  <c r="J192" i="1"/>
  <c r="L192" i="1" s="1"/>
  <c r="I193" i="1"/>
  <c r="K193" i="1" s="1"/>
  <c r="J193" i="1"/>
  <c r="L193" i="1" s="1"/>
  <c r="I194" i="1"/>
  <c r="K194" i="1" s="1"/>
  <c r="J194" i="1"/>
  <c r="L194" i="1" s="1"/>
  <c r="I318" i="1"/>
  <c r="K318" i="1" s="1"/>
  <c r="J318" i="1"/>
  <c r="L318" i="1" s="1"/>
  <c r="I319" i="1"/>
  <c r="K319" i="1" s="1"/>
  <c r="J319" i="1"/>
  <c r="L319" i="1" s="1"/>
  <c r="I315" i="1"/>
  <c r="K315" i="1" s="1"/>
  <c r="J315" i="1"/>
  <c r="L315" i="1" s="1"/>
  <c r="I316" i="1"/>
  <c r="K316" i="1" s="1"/>
  <c r="J316" i="1"/>
  <c r="L316" i="1" s="1"/>
  <c r="I317" i="1"/>
  <c r="K317" i="1" s="1"/>
  <c r="J317" i="1"/>
  <c r="L317" i="1" s="1"/>
  <c r="I236" i="1"/>
  <c r="K236" i="1" s="1"/>
  <c r="J236" i="1"/>
  <c r="L236" i="1" s="1"/>
  <c r="I237" i="1"/>
  <c r="K237" i="1" s="1"/>
  <c r="J237" i="1"/>
  <c r="L237" i="1" s="1"/>
  <c r="I233" i="1"/>
  <c r="K233" i="1" s="1"/>
  <c r="J233" i="1"/>
  <c r="L233" i="1" s="1"/>
  <c r="I234" i="1"/>
  <c r="K234" i="1" s="1"/>
  <c r="J234" i="1"/>
  <c r="L234" i="1" s="1"/>
  <c r="I235" i="1"/>
  <c r="K235" i="1" s="1"/>
  <c r="J235" i="1"/>
  <c r="L235" i="1" s="1"/>
  <c r="J281" i="1"/>
  <c r="L281" i="1" s="1"/>
  <c r="J282" i="1"/>
  <c r="L282" i="1" s="1"/>
  <c r="I281" i="1"/>
  <c r="K281" i="1" s="1"/>
  <c r="I282" i="1"/>
  <c r="K282" i="1" s="1"/>
  <c r="I278" i="1"/>
  <c r="K278" i="1" s="1"/>
  <c r="J278" i="1"/>
  <c r="L278" i="1" s="1"/>
  <c r="I279" i="1"/>
  <c r="K279" i="1" s="1"/>
  <c r="J279" i="1"/>
  <c r="L279" i="1" s="1"/>
  <c r="I280" i="1"/>
  <c r="K280" i="1" s="1"/>
  <c r="J280" i="1"/>
  <c r="L280" i="1" s="1"/>
  <c r="J8" i="1"/>
  <c r="L8" i="1" s="1"/>
  <c r="J9" i="1"/>
  <c r="L9" i="1" s="1"/>
  <c r="J10" i="1"/>
  <c r="L10" i="1" s="1"/>
  <c r="I8" i="1"/>
  <c r="K8" i="1" s="1"/>
  <c r="I9" i="1"/>
  <c r="K9" i="1" s="1"/>
  <c r="I10" i="1"/>
  <c r="K10" i="1" s="1"/>
  <c r="I15" i="1"/>
  <c r="K15" i="1" s="1"/>
  <c r="J15" i="1"/>
  <c r="L15" i="1" s="1"/>
  <c r="J16" i="1"/>
  <c r="L16" i="1" s="1"/>
  <c r="I16" i="1"/>
  <c r="K16" i="1" s="1"/>
  <c r="I27" i="1"/>
  <c r="K27" i="1" s="1"/>
  <c r="J27" i="1"/>
  <c r="L27" i="1" s="1"/>
  <c r="I28" i="1"/>
  <c r="K28" i="1" s="1"/>
  <c r="J28" i="1"/>
  <c r="L28" i="1" s="1"/>
  <c r="J147" i="1"/>
  <c r="L147" i="1" s="1"/>
  <c r="I147" i="1"/>
  <c r="K147" i="1" s="1"/>
  <c r="J143" i="1"/>
  <c r="L143" i="1" s="1"/>
  <c r="I143" i="1"/>
  <c r="K143" i="1" s="1"/>
  <c r="I144" i="1"/>
  <c r="K144" i="1" s="1"/>
  <c r="J144" i="1"/>
  <c r="L144" i="1" s="1"/>
  <c r="I145" i="1"/>
  <c r="K145" i="1" s="1"/>
  <c r="J145" i="1"/>
  <c r="L145" i="1" s="1"/>
  <c r="I146" i="1"/>
  <c r="K146" i="1" s="1"/>
  <c r="J146" i="1"/>
  <c r="L146" i="1" s="1"/>
  <c r="I160" i="1"/>
  <c r="K160" i="1" s="1"/>
  <c r="J160" i="1"/>
  <c r="L160" i="1" s="1"/>
  <c r="I161" i="1"/>
  <c r="K161" i="1" s="1"/>
  <c r="J161" i="1"/>
  <c r="L161" i="1" s="1"/>
  <c r="M66" i="2" l="1" a="1"/>
  <c r="M66" i="2" s="1"/>
  <c r="M47" i="2" a="1"/>
  <c r="M47" i="2" s="1"/>
  <c r="M3" i="2" a="1"/>
  <c r="M37" i="2" a="1"/>
  <c r="M278" i="1" a="1"/>
  <c r="M233" i="1" a="1"/>
  <c r="M315" i="1" a="1"/>
  <c r="M226" i="1" a="1"/>
  <c r="O226" i="1" s="1"/>
  <c r="M91" i="2" a="1"/>
  <c r="O91" i="2" s="1"/>
  <c r="M86" i="2" a="1"/>
  <c r="M54" i="2" a="1"/>
  <c r="O54" i="2" s="1"/>
  <c r="M59" i="2" a="1"/>
  <c r="O59" i="2" s="1"/>
  <c r="M155" i="1" a="1"/>
  <c r="O155" i="1" s="1"/>
  <c r="M253" i="1" a="1"/>
  <c r="O253" i="1" s="1"/>
  <c r="M268" i="1" a="1"/>
  <c r="O268" i="1" s="1"/>
  <c r="M81" i="1" a="1"/>
  <c r="O81" i="1" s="1"/>
  <c r="M150" i="1" a="1"/>
  <c r="O150" i="1" s="1"/>
  <c r="M44" i="1" a="1"/>
  <c r="O44" i="1" s="1"/>
  <c r="M288" i="1" a="1"/>
  <c r="O288" i="1" s="1"/>
  <c r="M332" i="1" a="1"/>
  <c r="O332" i="1" s="1"/>
  <c r="M327" i="1" a="1"/>
  <c r="O327" i="1" s="1"/>
  <c r="M342" i="1" a="1"/>
  <c r="O342" i="1" s="1"/>
  <c r="M293" i="1" a="1"/>
  <c r="O293" i="1" s="1"/>
  <c r="M258" i="1" a="1"/>
  <c r="O258" i="1" s="1"/>
  <c r="M76" i="1" a="1"/>
  <c r="O76" i="1" s="1"/>
  <c r="M298" i="1" a="1"/>
  <c r="O298" i="1" s="1"/>
  <c r="M23" i="4" a="1"/>
  <c r="O23" i="4" s="1"/>
  <c r="M30" i="4" a="1"/>
  <c r="O30" i="4" s="1"/>
  <c r="M347" i="1" a="1"/>
  <c r="O347" i="1" s="1"/>
  <c r="M18" i="4" a="1"/>
  <c r="O18" i="4" s="1"/>
  <c r="M273" i="1" a="1"/>
  <c r="O273" i="1" s="1"/>
  <c r="M113" i="1" a="1"/>
  <c r="M128" i="1" a="1"/>
  <c r="O128" i="1" s="1"/>
  <c r="M170" i="1" a="1"/>
  <c r="O170" i="1" s="1"/>
  <c r="O175" i="1" s="1"/>
  <c r="M133" i="1" a="1"/>
  <c r="O133" i="1" s="1"/>
  <c r="M22" i="1" a="1"/>
  <c r="O22" i="1" s="1"/>
  <c r="M49" i="1" a="1"/>
  <c r="O49" i="1" s="1"/>
  <c r="M8" i="1" a="1"/>
  <c r="M192" i="1" a="1"/>
  <c r="O192" i="1" s="1"/>
  <c r="M15" i="1" a="1"/>
  <c r="O15" i="1" s="1"/>
  <c r="M27" i="1" a="1"/>
  <c r="M143" i="1" a="1"/>
  <c r="O143" i="1" s="1"/>
  <c r="I362" i="1"/>
  <c r="K362" i="1" s="1"/>
  <c r="J362" i="1"/>
  <c r="L362" i="1" s="1"/>
  <c r="I363" i="1"/>
  <c r="K363" i="1" s="1"/>
  <c r="J363" i="1"/>
  <c r="L363" i="1" s="1"/>
  <c r="I364" i="1"/>
  <c r="K364" i="1" s="1"/>
  <c r="J364" i="1"/>
  <c r="L364" i="1" s="1"/>
  <c r="J10" i="4"/>
  <c r="L10" i="4" s="1"/>
  <c r="I10" i="4"/>
  <c r="K10" i="4" s="1"/>
  <c r="J9" i="4"/>
  <c r="L9" i="4" s="1"/>
  <c r="I9" i="4"/>
  <c r="K9" i="4" s="1"/>
  <c r="J8" i="4"/>
  <c r="L8" i="4" s="1"/>
  <c r="I8" i="4"/>
  <c r="K8" i="4" s="1"/>
  <c r="J5" i="4"/>
  <c r="L5" i="4" s="1"/>
  <c r="I5" i="4"/>
  <c r="K5" i="4" s="1"/>
  <c r="J4" i="4"/>
  <c r="L4" i="4" s="1"/>
  <c r="I4" i="4"/>
  <c r="K4" i="4" s="1"/>
  <c r="J3" i="4"/>
  <c r="L3" i="4" s="1"/>
  <c r="I3" i="4"/>
  <c r="K3" i="4" s="1"/>
  <c r="J15" i="4"/>
  <c r="L15" i="4" s="1"/>
  <c r="I15" i="4"/>
  <c r="K15" i="4" s="1"/>
  <c r="J14" i="4"/>
  <c r="L14" i="4" s="1"/>
  <c r="I14" i="4"/>
  <c r="K14" i="4" s="1"/>
  <c r="J13" i="4"/>
  <c r="L13" i="4" s="1"/>
  <c r="I13" i="4"/>
  <c r="K13" i="4" s="1"/>
  <c r="L4" i="1"/>
  <c r="I3" i="1"/>
  <c r="K3" i="1" s="1"/>
  <c r="L3" i="1"/>
  <c r="I4" i="1"/>
  <c r="K4" i="1" s="1"/>
  <c r="I5" i="1"/>
  <c r="K5" i="1" s="1"/>
  <c r="L5" i="1"/>
  <c r="J78" i="2"/>
  <c r="L78" i="2" s="1"/>
  <c r="I78" i="2"/>
  <c r="K78" i="2" s="1"/>
  <c r="J77" i="2"/>
  <c r="L77" i="2" s="1"/>
  <c r="I77" i="2"/>
  <c r="K77" i="2" s="1"/>
  <c r="J76" i="2"/>
  <c r="L76" i="2" s="1"/>
  <c r="I76" i="2"/>
  <c r="K76" i="2" s="1"/>
  <c r="J44" i="2"/>
  <c r="L44" i="2" s="1"/>
  <c r="I44" i="2"/>
  <c r="K44" i="2" s="1"/>
  <c r="J43" i="2"/>
  <c r="L43" i="2" s="1"/>
  <c r="I43" i="2"/>
  <c r="K43" i="2" s="1"/>
  <c r="J42" i="2"/>
  <c r="L42" i="2" s="1"/>
  <c r="I42" i="2"/>
  <c r="K42" i="2" s="1"/>
  <c r="J83" i="2"/>
  <c r="L83" i="2" s="1"/>
  <c r="I83" i="2"/>
  <c r="K83" i="2" s="1"/>
  <c r="J82" i="2"/>
  <c r="L82" i="2" s="1"/>
  <c r="I82" i="2"/>
  <c r="K82" i="2" s="1"/>
  <c r="J81" i="2"/>
  <c r="L81" i="2" s="1"/>
  <c r="I81" i="2"/>
  <c r="K81" i="2" s="1"/>
  <c r="J218" i="1"/>
  <c r="I218" i="1"/>
  <c r="J217" i="1"/>
  <c r="I217" i="1"/>
  <c r="J216" i="1"/>
  <c r="I216" i="1"/>
  <c r="J140" i="1"/>
  <c r="I140" i="1"/>
  <c r="J139" i="1"/>
  <c r="I139" i="1"/>
  <c r="J138" i="1"/>
  <c r="I138" i="1"/>
  <c r="J125" i="1"/>
  <c r="I125" i="1"/>
  <c r="J124" i="1"/>
  <c r="I124" i="1"/>
  <c r="J123" i="1"/>
  <c r="I123" i="1"/>
  <c r="J36" i="1"/>
  <c r="I36" i="1"/>
  <c r="J35" i="1"/>
  <c r="I35" i="1"/>
  <c r="J34" i="1"/>
  <c r="I34" i="1"/>
  <c r="J66" i="1"/>
  <c r="I66" i="1"/>
  <c r="J65" i="1"/>
  <c r="I65" i="1"/>
  <c r="J64" i="1"/>
  <c r="I64" i="1"/>
  <c r="J73" i="1"/>
  <c r="I73" i="1"/>
  <c r="J72" i="1"/>
  <c r="I72" i="1"/>
  <c r="J71" i="1"/>
  <c r="I71" i="1"/>
  <c r="J41" i="1"/>
  <c r="I41" i="1"/>
  <c r="J40" i="1"/>
  <c r="I40" i="1"/>
  <c r="J39" i="1"/>
  <c r="I39" i="1"/>
  <c r="J179" i="1"/>
  <c r="I179" i="1"/>
  <c r="J178" i="1"/>
  <c r="I178" i="1"/>
  <c r="J177" i="1"/>
  <c r="I177" i="1"/>
  <c r="J184" i="1"/>
  <c r="I184" i="1"/>
  <c r="J183" i="1"/>
  <c r="I183" i="1"/>
  <c r="J182" i="1"/>
  <c r="I182" i="1"/>
  <c r="J312" i="1"/>
  <c r="I312" i="1"/>
  <c r="J311" i="1"/>
  <c r="I311" i="1"/>
  <c r="J310" i="1"/>
  <c r="I310" i="1"/>
  <c r="J307" i="1"/>
  <c r="I307" i="1"/>
  <c r="J306" i="1"/>
  <c r="I306" i="1"/>
  <c r="J305" i="1"/>
  <c r="I305" i="1"/>
  <c r="K305" i="1" s="1"/>
  <c r="J102" i="1"/>
  <c r="L102" i="1" s="1"/>
  <c r="I102" i="1"/>
  <c r="K102" i="1" s="1"/>
  <c r="J101" i="1"/>
  <c r="I101" i="1"/>
  <c r="K101" i="1" s="1"/>
  <c r="J56" i="1"/>
  <c r="I56" i="1"/>
  <c r="J55" i="1"/>
  <c r="I55" i="1"/>
  <c r="J54" i="1"/>
  <c r="L54" i="1" s="1"/>
  <c r="I54" i="1"/>
  <c r="J61" i="1"/>
  <c r="I61" i="1"/>
  <c r="K61" i="1" s="1"/>
  <c r="J60" i="1"/>
  <c r="I60" i="1"/>
  <c r="K60" i="1" s="1"/>
  <c r="J59" i="1"/>
  <c r="I59" i="1"/>
  <c r="J240" i="1"/>
  <c r="I240" i="1"/>
  <c r="J239" i="1"/>
  <c r="I239" i="1"/>
  <c r="J238" i="1"/>
  <c r="I238" i="1"/>
  <c r="J245" i="1"/>
  <c r="I245" i="1"/>
  <c r="K245" i="1" s="1"/>
  <c r="J244" i="1"/>
  <c r="L244" i="1" s="1"/>
  <c r="I244" i="1"/>
  <c r="J243" i="1"/>
  <c r="I243" i="1"/>
  <c r="K243" i="1" s="1"/>
  <c r="J162" i="1"/>
  <c r="I162" i="1"/>
  <c r="K162" i="1" s="1"/>
  <c r="O66" i="2" l="1"/>
  <c r="M42" i="2" a="1"/>
  <c r="M42" i="2" s="1"/>
  <c r="M53" i="2"/>
  <c r="M52" i="2"/>
  <c r="O47" i="2"/>
  <c r="O28" i="4"/>
  <c r="O64" i="2"/>
  <c r="M86" i="2"/>
  <c r="Q86" i="2" s="1"/>
  <c r="I29" i="5" s="1"/>
  <c r="O86" i="2"/>
  <c r="M37" i="2"/>
  <c r="Q37" i="2" s="1"/>
  <c r="I9" i="5" s="1"/>
  <c r="O37" i="2"/>
  <c r="M3" i="2"/>
  <c r="O3" i="2"/>
  <c r="M27" i="1"/>
  <c r="Q27" i="1" s="1"/>
  <c r="O27" i="1"/>
  <c r="M113" i="1"/>
  <c r="Q113" i="1" s="1"/>
  <c r="L29" i="5" s="1"/>
  <c r="O113" i="1"/>
  <c r="M315" i="1"/>
  <c r="M321" i="1" s="1"/>
  <c r="Q321" i="1" s="1"/>
  <c r="L72" i="5" s="1"/>
  <c r="Q72" i="5" s="1"/>
  <c r="S72" i="5" s="1"/>
  <c r="O315" i="1"/>
  <c r="P320" i="1" s="1"/>
  <c r="M233" i="1"/>
  <c r="Q233" i="1" s="1"/>
  <c r="L53" i="5" s="1"/>
  <c r="Q53" i="5" s="1"/>
  <c r="S53" i="5" s="1"/>
  <c r="O233" i="1"/>
  <c r="M8" i="1"/>
  <c r="Q8" i="1" s="1"/>
  <c r="O8" i="1"/>
  <c r="M278" i="1"/>
  <c r="Q278" i="1" s="1"/>
  <c r="O278" i="1"/>
  <c r="M226" i="1"/>
  <c r="Q226" i="1" s="1"/>
  <c r="I53" i="5"/>
  <c r="M91" i="2"/>
  <c r="Q91" i="2" s="1"/>
  <c r="M54" i="2"/>
  <c r="Q54" i="2" s="1"/>
  <c r="I13" i="5" s="1"/>
  <c r="Q66" i="2"/>
  <c r="I16" i="5" s="1"/>
  <c r="M59" i="2"/>
  <c r="Q59" i="2" s="1"/>
  <c r="M155" i="1"/>
  <c r="Q155" i="1" s="1"/>
  <c r="L37" i="5" s="1"/>
  <c r="Q37" i="5" s="1"/>
  <c r="S37" i="5" s="1"/>
  <c r="M253" i="1"/>
  <c r="Q253" i="1" s="1"/>
  <c r="L57" i="5" s="1"/>
  <c r="Q57" i="5" s="1"/>
  <c r="S57" i="5" s="1"/>
  <c r="M268" i="1"/>
  <c r="Q268" i="1" s="1"/>
  <c r="L60" i="5" s="1"/>
  <c r="Q60" i="5" s="1"/>
  <c r="S60" i="5" s="1"/>
  <c r="M44" i="1"/>
  <c r="Q44" i="1" s="1"/>
  <c r="L13" i="5" s="1"/>
  <c r="M150" i="1"/>
  <c r="Q150" i="1" s="1"/>
  <c r="L36" i="5" s="1"/>
  <c r="Q36" i="5" s="1"/>
  <c r="S36" i="5" s="1"/>
  <c r="M332" i="1"/>
  <c r="Q332" i="1" s="1"/>
  <c r="L74" i="5" s="1"/>
  <c r="Q74" i="5" s="1"/>
  <c r="S74" i="5" s="1"/>
  <c r="M81" i="1"/>
  <c r="Q81" i="1" s="1"/>
  <c r="L27" i="5" s="1"/>
  <c r="Q27" i="5" s="1"/>
  <c r="S27" i="5" s="1"/>
  <c r="M288" i="1"/>
  <c r="Q288" i="1" s="1"/>
  <c r="L65" i="5" s="1"/>
  <c r="Q65" i="5" s="1"/>
  <c r="S65" i="5" s="1"/>
  <c r="M327" i="1"/>
  <c r="Q327" i="1" s="1"/>
  <c r="L73" i="5" s="1"/>
  <c r="Q73" i="5" s="1"/>
  <c r="S73" i="5" s="1"/>
  <c r="M342" i="1"/>
  <c r="Q342" i="1" s="1"/>
  <c r="L76" i="5" s="1"/>
  <c r="Q76" i="5" s="1"/>
  <c r="S76" i="5" s="1"/>
  <c r="M293" i="1"/>
  <c r="Q293" i="1" s="1"/>
  <c r="L66" i="5" s="1"/>
  <c r="Q66" i="5" s="1"/>
  <c r="S66" i="5" s="1"/>
  <c r="M258" i="1"/>
  <c r="Q258" i="1" s="1"/>
  <c r="L58" i="5" s="1"/>
  <c r="Q58" i="5" s="1"/>
  <c r="S58" i="5" s="1"/>
  <c r="Q3" i="2"/>
  <c r="M76" i="1"/>
  <c r="Q76" i="1" s="1"/>
  <c r="L26" i="5" s="1"/>
  <c r="M298" i="1"/>
  <c r="P298" i="1" s="1"/>
  <c r="M30" i="4"/>
  <c r="P30" i="4" s="1"/>
  <c r="M23" i="4"/>
  <c r="P28" i="4" s="1"/>
  <c r="M13" i="4" a="1"/>
  <c r="M18" i="4"/>
  <c r="Q18" i="4" s="1"/>
  <c r="N81" i="5" s="1"/>
  <c r="M8" i="4" a="1"/>
  <c r="M347" i="1"/>
  <c r="Q347" i="1" s="1"/>
  <c r="L77" i="5" s="1"/>
  <c r="M273" i="1"/>
  <c r="Q273" i="1" s="1"/>
  <c r="L61" i="5" s="1"/>
  <c r="Q61" i="5" s="1"/>
  <c r="S61" i="5" s="1"/>
  <c r="M170" i="1"/>
  <c r="M175" i="1" s="1"/>
  <c r="M22" i="1"/>
  <c r="Q22" i="1" s="1"/>
  <c r="L9" i="5" s="1"/>
  <c r="M128" i="1"/>
  <c r="Q128" i="1" s="1"/>
  <c r="L31" i="5" s="1"/>
  <c r="Q31" i="5" s="1"/>
  <c r="S31" i="5" s="1"/>
  <c r="M133" i="1"/>
  <c r="Q133" i="1" s="1"/>
  <c r="L32" i="5" s="1"/>
  <c r="Q32" i="5" s="1"/>
  <c r="S32" i="5" s="1"/>
  <c r="M49" i="1"/>
  <c r="M192" i="1"/>
  <c r="Q192" i="1" s="1"/>
  <c r="L44" i="5" s="1"/>
  <c r="M15" i="1"/>
  <c r="M143" i="1"/>
  <c r="M3" i="4" a="1"/>
  <c r="M362" i="1" a="1"/>
  <c r="O362" i="1" s="1"/>
  <c r="M76" i="2" a="1"/>
  <c r="M81" i="2" a="1"/>
  <c r="O81" i="2" s="1"/>
  <c r="M3" i="1" a="1"/>
  <c r="O3" i="1" s="1"/>
  <c r="K216" i="1"/>
  <c r="L216" i="1"/>
  <c r="K217" i="1"/>
  <c r="L217" i="1"/>
  <c r="K218" i="1"/>
  <c r="L218" i="1"/>
  <c r="K244" i="1"/>
  <c r="L240" i="1"/>
  <c r="K306" i="1"/>
  <c r="K307" i="1"/>
  <c r="K138" i="1"/>
  <c r="L138" i="1"/>
  <c r="K139" i="1"/>
  <c r="L139" i="1"/>
  <c r="K140" i="1"/>
  <c r="L140" i="1"/>
  <c r="K123" i="1"/>
  <c r="L123" i="1"/>
  <c r="K124" i="1"/>
  <c r="L124" i="1"/>
  <c r="K125" i="1"/>
  <c r="L125" i="1"/>
  <c r="K34" i="1"/>
  <c r="L34" i="1"/>
  <c r="K35" i="1"/>
  <c r="L35" i="1"/>
  <c r="K36" i="1"/>
  <c r="L36" i="1"/>
  <c r="K64" i="1"/>
  <c r="L64" i="1"/>
  <c r="K65" i="1"/>
  <c r="L65" i="1"/>
  <c r="K66" i="1"/>
  <c r="L66" i="1"/>
  <c r="K71" i="1"/>
  <c r="L71" i="1"/>
  <c r="K72" i="1"/>
  <c r="L72" i="1"/>
  <c r="K73" i="1"/>
  <c r="L73" i="1"/>
  <c r="K39" i="1"/>
  <c r="L39" i="1"/>
  <c r="K40" i="1"/>
  <c r="L40" i="1"/>
  <c r="K41" i="1"/>
  <c r="L41" i="1"/>
  <c r="K177" i="1"/>
  <c r="L177" i="1"/>
  <c r="K178" i="1"/>
  <c r="L178" i="1"/>
  <c r="K179" i="1"/>
  <c r="L179" i="1"/>
  <c r="K182" i="1"/>
  <c r="L182" i="1"/>
  <c r="K183" i="1"/>
  <c r="L183" i="1"/>
  <c r="K184" i="1"/>
  <c r="L184" i="1"/>
  <c r="K310" i="1"/>
  <c r="L310" i="1"/>
  <c r="K311" i="1"/>
  <c r="L311" i="1"/>
  <c r="K312" i="1"/>
  <c r="L312" i="1"/>
  <c r="L305" i="1"/>
  <c r="L306" i="1"/>
  <c r="L101" i="1"/>
  <c r="L307" i="1"/>
  <c r="K54" i="1"/>
  <c r="K55" i="1"/>
  <c r="L55" i="1"/>
  <c r="K56" i="1"/>
  <c r="L56" i="1"/>
  <c r="L61" i="1"/>
  <c r="K59" i="1"/>
  <c r="L59" i="1"/>
  <c r="L60" i="1"/>
  <c r="L245" i="1"/>
  <c r="L243" i="1"/>
  <c r="L238" i="1"/>
  <c r="K239" i="1"/>
  <c r="K240" i="1"/>
  <c r="K238" i="1"/>
  <c r="L239" i="1"/>
  <c r="L162" i="1"/>
  <c r="R22" i="1" l="1"/>
  <c r="M9" i="5" s="1"/>
  <c r="P35" i="4"/>
  <c r="P36" i="4"/>
  <c r="O42" i="2"/>
  <c r="R42" i="2" s="1"/>
  <c r="K10" i="5" s="1"/>
  <c r="R10" i="5" s="1"/>
  <c r="M13" i="1"/>
  <c r="Q13" i="1" s="1"/>
  <c r="L11" i="5" s="1"/>
  <c r="M13" i="4"/>
  <c r="Q13" i="4" s="1"/>
  <c r="N78" i="5" s="1"/>
  <c r="O13" i="4"/>
  <c r="M8" i="4"/>
  <c r="Q8" i="4" s="1"/>
  <c r="N50" i="5" s="1"/>
  <c r="O50" i="5" s="1"/>
  <c r="O8" i="4"/>
  <c r="R8" i="4" s="1"/>
  <c r="P29" i="4"/>
  <c r="P23" i="4"/>
  <c r="R23" i="4"/>
  <c r="P18" i="4"/>
  <c r="R30" i="4"/>
  <c r="M3" i="4"/>
  <c r="Q3" i="4" s="1"/>
  <c r="N33" i="5" s="1"/>
  <c r="O3" i="4"/>
  <c r="R3" i="4" s="1"/>
  <c r="R18" i="4"/>
  <c r="P81" i="5" s="1"/>
  <c r="R81" i="5" s="1"/>
  <c r="M32" i="1"/>
  <c r="Q32" i="1" s="1"/>
  <c r="L14" i="5" s="1"/>
  <c r="M14" i="1"/>
  <c r="Q14" i="1" s="1"/>
  <c r="L12" i="5" s="1"/>
  <c r="P303" i="1"/>
  <c r="P304" i="1"/>
  <c r="M76" i="2"/>
  <c r="Q76" i="2" s="1"/>
  <c r="I18" i="5" s="1"/>
  <c r="O76" i="2"/>
  <c r="P65" i="2"/>
  <c r="P64" i="2"/>
  <c r="P96" i="2"/>
  <c r="M33" i="1"/>
  <c r="Q33" i="1" s="1"/>
  <c r="L15" i="5" s="1"/>
  <c r="M3" i="1"/>
  <c r="Q3" i="1" s="1"/>
  <c r="L10" i="5" s="1"/>
  <c r="P52" i="2"/>
  <c r="P47" i="2"/>
  <c r="P53" i="2"/>
  <c r="O81" i="5"/>
  <c r="L52" i="5"/>
  <c r="Q52" i="5" s="1"/>
  <c r="S52" i="5" s="1"/>
  <c r="P233" i="1"/>
  <c r="P226" i="1"/>
  <c r="P149" i="1"/>
  <c r="P176" i="1"/>
  <c r="P175" i="1"/>
  <c r="P148" i="1"/>
  <c r="P143" i="1"/>
  <c r="P321" i="1"/>
  <c r="P315" i="1"/>
  <c r="R8" i="1"/>
  <c r="P14" i="1"/>
  <c r="P13" i="1"/>
  <c r="P8" i="1"/>
  <c r="P20" i="1"/>
  <c r="P15" i="1"/>
  <c r="P21" i="1"/>
  <c r="P97" i="2"/>
  <c r="Q44" i="5"/>
  <c r="S44" i="5" s="1"/>
  <c r="O53" i="2"/>
  <c r="O52" i="2"/>
  <c r="R54" i="2"/>
  <c r="K13" i="5" s="1"/>
  <c r="R13" i="5" s="1"/>
  <c r="I3" i="5"/>
  <c r="P3" i="2"/>
  <c r="R150" i="1"/>
  <c r="M36" i="5" s="1"/>
  <c r="R36" i="5" s="1"/>
  <c r="O176" i="1"/>
  <c r="Q170" i="1"/>
  <c r="M176" i="1"/>
  <c r="Q176" i="1" s="1"/>
  <c r="L41" i="5" s="1"/>
  <c r="Q41" i="5" s="1"/>
  <c r="S41" i="5" s="1"/>
  <c r="P50" i="5"/>
  <c r="M28" i="4"/>
  <c r="Q28" i="4" s="1"/>
  <c r="N82" i="5" s="1"/>
  <c r="M29" i="4"/>
  <c r="Q29" i="4" s="1"/>
  <c r="N83" i="5" s="1"/>
  <c r="O35" i="4"/>
  <c r="R35" i="4" s="1"/>
  <c r="O36" i="4"/>
  <c r="R36" i="4" s="1"/>
  <c r="Q30" i="4"/>
  <c r="M36" i="4"/>
  <c r="Q36" i="4" s="1"/>
  <c r="N85" i="5" s="1"/>
  <c r="M35" i="4"/>
  <c r="Q35" i="4" s="1"/>
  <c r="N84" i="5" s="1"/>
  <c r="Q23" i="4"/>
  <c r="O29" i="4"/>
  <c r="R128" i="1"/>
  <c r="M31" i="5" s="1"/>
  <c r="R31" i="5" s="1"/>
  <c r="R347" i="1"/>
  <c r="M77" i="5" s="1"/>
  <c r="R77" i="5" s="1"/>
  <c r="R258" i="1"/>
  <c r="M58" i="5" s="1"/>
  <c r="R58" i="5" s="1"/>
  <c r="R288" i="1"/>
  <c r="M65" i="5" s="1"/>
  <c r="R65" i="5" s="1"/>
  <c r="R133" i="1"/>
  <c r="M32" i="5" s="1"/>
  <c r="R32" i="5" s="1"/>
  <c r="R27" i="1"/>
  <c r="P33" i="1"/>
  <c r="P32" i="1"/>
  <c r="R273" i="1"/>
  <c r="M61" i="5" s="1"/>
  <c r="R61" i="5" s="1"/>
  <c r="R327" i="1"/>
  <c r="M73" i="5" s="1"/>
  <c r="R73" i="5" s="1"/>
  <c r="R44" i="1"/>
  <c r="M13" i="5" s="1"/>
  <c r="R293" i="1"/>
  <c r="M66" i="5" s="1"/>
  <c r="R66" i="5" s="1"/>
  <c r="R268" i="1"/>
  <c r="M60" i="5" s="1"/>
  <c r="R60" i="5" s="1"/>
  <c r="R298" i="1"/>
  <c r="R81" i="1"/>
  <c r="M27" i="5" s="1"/>
  <c r="R27" i="5" s="1"/>
  <c r="R278" i="1"/>
  <c r="R76" i="1"/>
  <c r="M26" i="5" s="1"/>
  <c r="R26" i="5" s="1"/>
  <c r="R49" i="1"/>
  <c r="M16" i="5" s="1"/>
  <c r="R170" i="1"/>
  <c r="R342" i="1"/>
  <c r="M76" i="5" s="1"/>
  <c r="R76" i="5" s="1"/>
  <c r="P155" i="1"/>
  <c r="R155" i="1"/>
  <c r="M37" i="5" s="1"/>
  <c r="R37" i="5" s="1"/>
  <c r="Q77" i="5"/>
  <c r="S77" i="5" s="1"/>
  <c r="P253" i="1"/>
  <c r="R253" i="1"/>
  <c r="M57" i="5" s="1"/>
  <c r="R57" i="5" s="1"/>
  <c r="L62" i="5"/>
  <c r="Q62" i="5" s="1"/>
  <c r="S62" i="5" s="1"/>
  <c r="R332" i="1"/>
  <c r="M74" i="5" s="1"/>
  <c r="R74" i="5" s="1"/>
  <c r="R59" i="2"/>
  <c r="R47" i="2"/>
  <c r="R37" i="2"/>
  <c r="K9" i="5" s="1"/>
  <c r="R9" i="5" s="1"/>
  <c r="R3" i="2"/>
  <c r="K3" i="5" s="1"/>
  <c r="R3" i="5" s="1"/>
  <c r="R66" i="2"/>
  <c r="K16" i="5" s="1"/>
  <c r="R16" i="5" s="1"/>
  <c r="R91" i="2"/>
  <c r="P91" i="2"/>
  <c r="K53" i="5"/>
  <c r="P86" i="2"/>
  <c r="R86" i="2"/>
  <c r="K29" i="5" s="1"/>
  <c r="R29" i="5" s="1"/>
  <c r="Q47" i="2"/>
  <c r="Q53" i="2"/>
  <c r="I12" i="5" s="1"/>
  <c r="Q52" i="2"/>
  <c r="I11" i="5" s="1"/>
  <c r="O97" i="2"/>
  <c r="O96" i="2"/>
  <c r="M96" i="2"/>
  <c r="Q96" i="2" s="1"/>
  <c r="I34" i="5" s="1"/>
  <c r="M97" i="2"/>
  <c r="Q97" i="2" s="1"/>
  <c r="I35" i="5" s="1"/>
  <c r="P66" i="2"/>
  <c r="P54" i="2"/>
  <c r="P37" i="2"/>
  <c r="P59" i="2"/>
  <c r="O65" i="2"/>
  <c r="M65" i="2"/>
  <c r="Q65" i="2" s="1"/>
  <c r="I15" i="5" s="1"/>
  <c r="M64" i="2"/>
  <c r="Q64" i="2" s="1"/>
  <c r="I14" i="5" s="1"/>
  <c r="P332" i="1"/>
  <c r="P150" i="1"/>
  <c r="P44" i="1"/>
  <c r="P268" i="1"/>
  <c r="P81" i="1"/>
  <c r="P273" i="1"/>
  <c r="P288" i="1"/>
  <c r="P327" i="1"/>
  <c r="P342" i="1"/>
  <c r="P293" i="1"/>
  <c r="P76" i="1"/>
  <c r="P258" i="1"/>
  <c r="M81" i="2"/>
  <c r="Q81" i="2" s="1"/>
  <c r="I26" i="5" s="1"/>
  <c r="Q42" i="2"/>
  <c r="I10" i="5" s="1"/>
  <c r="O304" i="1"/>
  <c r="O303" i="1"/>
  <c r="Q298" i="1"/>
  <c r="M303" i="1"/>
  <c r="Q303" i="1" s="1"/>
  <c r="L67" i="5" s="1"/>
  <c r="Q67" i="5" s="1"/>
  <c r="S67" i="5" s="1"/>
  <c r="M304" i="1"/>
  <c r="Q304" i="1" s="1"/>
  <c r="P49" i="1"/>
  <c r="R15" i="1"/>
  <c r="R233" i="1"/>
  <c r="M53" i="5" s="1"/>
  <c r="R53" i="5" s="1"/>
  <c r="P22" i="1"/>
  <c r="P347" i="1"/>
  <c r="R143" i="1"/>
  <c r="R192" i="1"/>
  <c r="M44" i="5" s="1"/>
  <c r="R44" i="5" s="1"/>
  <c r="P170" i="1"/>
  <c r="Q175" i="1"/>
  <c r="P133" i="1"/>
  <c r="Q49" i="1"/>
  <c r="L16" i="5" s="1"/>
  <c r="P128" i="1"/>
  <c r="M320" i="1"/>
  <c r="Q320" i="1" s="1"/>
  <c r="L71" i="5" s="1"/>
  <c r="Q71" i="5" s="1"/>
  <c r="S71" i="5" s="1"/>
  <c r="Q315" i="1"/>
  <c r="O14" i="1"/>
  <c r="P113" i="1"/>
  <c r="R113" i="1"/>
  <c r="M29" i="5" s="1"/>
  <c r="R226" i="1"/>
  <c r="M52" i="5" s="1"/>
  <c r="R52" i="5" s="1"/>
  <c r="O13" i="1"/>
  <c r="R315" i="1"/>
  <c r="O320" i="1"/>
  <c r="O321" i="1"/>
  <c r="R321" i="1" s="1"/>
  <c r="M72" i="5" s="1"/>
  <c r="R72" i="5" s="1"/>
  <c r="P192" i="1"/>
  <c r="P278" i="1"/>
  <c r="O20" i="1"/>
  <c r="O21" i="1"/>
  <c r="Q15" i="1"/>
  <c r="M20" i="1"/>
  <c r="Q20" i="1" s="1"/>
  <c r="L19" i="5" s="1"/>
  <c r="Q19" i="5" s="1"/>
  <c r="S19" i="5" s="1"/>
  <c r="M21" i="1"/>
  <c r="Q21" i="1" s="1"/>
  <c r="L20" i="5" s="1"/>
  <c r="Q20" i="5" s="1"/>
  <c r="S20" i="5" s="1"/>
  <c r="P27" i="1"/>
  <c r="O33" i="1"/>
  <c r="O32" i="1"/>
  <c r="O148" i="1"/>
  <c r="O149" i="1"/>
  <c r="Q143" i="1"/>
  <c r="M148" i="1"/>
  <c r="Q148" i="1" s="1"/>
  <c r="L34" i="5" s="1"/>
  <c r="Q34" i="5" s="1"/>
  <c r="S34" i="5" s="1"/>
  <c r="M149" i="1"/>
  <c r="Q149" i="1" s="1"/>
  <c r="L35" i="5" s="1"/>
  <c r="Q35" i="5" s="1"/>
  <c r="S35" i="5" s="1"/>
  <c r="M160" i="1" a="1"/>
  <c r="O160" i="1" s="1"/>
  <c r="M362" i="1"/>
  <c r="Q362" i="1" s="1"/>
  <c r="L86" i="5" s="1"/>
  <c r="Q86" i="5" s="1"/>
  <c r="S86" i="5" s="1"/>
  <c r="M216" i="1" a="1"/>
  <c r="O216" i="1" s="1"/>
  <c r="M123" i="1" a="1"/>
  <c r="O123" i="1" s="1"/>
  <c r="M138" i="1" a="1"/>
  <c r="O138" i="1" s="1"/>
  <c r="M34" i="1" a="1"/>
  <c r="O34" i="1" s="1"/>
  <c r="M182" i="1" a="1"/>
  <c r="M64" i="1" a="1"/>
  <c r="O64" i="1" s="1"/>
  <c r="M39" i="1" a="1"/>
  <c r="O39" i="1" s="1"/>
  <c r="M71" i="1" a="1"/>
  <c r="O71" i="1" s="1"/>
  <c r="M310" i="1" a="1"/>
  <c r="O310" i="1" s="1"/>
  <c r="M177" i="1" a="1"/>
  <c r="O177" i="1" s="1"/>
  <c r="M305" i="1" a="1"/>
  <c r="O305" i="1" s="1"/>
  <c r="M101" i="1" a="1"/>
  <c r="O101" i="1" s="1"/>
  <c r="M54" i="1" a="1"/>
  <c r="O54" i="1" s="1"/>
  <c r="M59" i="1" a="1"/>
  <c r="O59" i="1" s="1"/>
  <c r="M238" i="1" a="1"/>
  <c r="O238" i="1" s="1"/>
  <c r="M243" i="1" a="1"/>
  <c r="Q81" i="5" l="1"/>
  <c r="S81" i="5" s="1"/>
  <c r="O78" i="5"/>
  <c r="R3" i="1"/>
  <c r="M10" i="5" s="1"/>
  <c r="P3" i="4"/>
  <c r="R32" i="1"/>
  <c r="M14" i="5" s="1"/>
  <c r="R13" i="1"/>
  <c r="M11" i="5" s="1"/>
  <c r="R29" i="4"/>
  <c r="R28" i="4"/>
  <c r="P82" i="5" s="1"/>
  <c r="R82" i="5" s="1"/>
  <c r="R13" i="4"/>
  <c r="P78" i="5" s="1"/>
  <c r="R78" i="5" s="1"/>
  <c r="R14" i="1"/>
  <c r="M12" i="5" s="1"/>
  <c r="O33" i="5"/>
  <c r="R33" i="1"/>
  <c r="M15" i="5" s="1"/>
  <c r="M182" i="1"/>
  <c r="Q182" i="1" s="1"/>
  <c r="L43" i="5" s="1"/>
  <c r="Q43" i="5" s="1"/>
  <c r="S43" i="5" s="1"/>
  <c r="O182" i="1"/>
  <c r="M243" i="1"/>
  <c r="Q243" i="1" s="1"/>
  <c r="L55" i="5" s="1"/>
  <c r="Q55" i="5" s="1"/>
  <c r="S55" i="5" s="1"/>
  <c r="O243" i="1"/>
  <c r="L68" i="5"/>
  <c r="Q68" i="5" s="1"/>
  <c r="S68" i="5" s="1"/>
  <c r="Q26" i="5"/>
  <c r="S26" i="5" s="1"/>
  <c r="Q45" i="5"/>
  <c r="S45" i="5" s="1"/>
  <c r="L40" i="5"/>
  <c r="Q40" i="5" s="1"/>
  <c r="S40" i="5" s="1"/>
  <c r="O82" i="5"/>
  <c r="Q82" i="5" s="1"/>
  <c r="S82" i="5" s="1"/>
  <c r="P8" i="4"/>
  <c r="O85" i="5"/>
  <c r="Q85" i="5" s="1"/>
  <c r="S85" i="5" s="1"/>
  <c r="O84" i="5"/>
  <c r="Q84" i="5" s="1"/>
  <c r="S84" i="5" s="1"/>
  <c r="P85" i="5"/>
  <c r="R85" i="5" s="1"/>
  <c r="P84" i="5"/>
  <c r="R84" i="5" s="1"/>
  <c r="P83" i="5"/>
  <c r="R83" i="5" s="1"/>
  <c r="O83" i="5"/>
  <c r="Q83" i="5" s="1"/>
  <c r="S83" i="5" s="1"/>
  <c r="R304" i="1"/>
  <c r="M68" i="5" s="1"/>
  <c r="R68" i="5" s="1"/>
  <c r="M62" i="5"/>
  <c r="R62" i="5" s="1"/>
  <c r="R303" i="1"/>
  <c r="M67" i="5" s="1"/>
  <c r="R67" i="5" s="1"/>
  <c r="R175" i="1"/>
  <c r="M40" i="5" s="1"/>
  <c r="R40" i="5" s="1"/>
  <c r="R176" i="1"/>
  <c r="M41" i="5" s="1"/>
  <c r="R41" i="5" s="1"/>
  <c r="R53" i="2"/>
  <c r="K12" i="5" s="1"/>
  <c r="R12" i="5" s="1"/>
  <c r="R97" i="2"/>
  <c r="K35" i="5" s="1"/>
  <c r="R96" i="2"/>
  <c r="K34" i="5" s="1"/>
  <c r="R65" i="2"/>
  <c r="K15" i="5" s="1"/>
  <c r="R15" i="5" s="1"/>
  <c r="P81" i="2"/>
  <c r="R81" i="2"/>
  <c r="K26" i="5" s="1"/>
  <c r="P76" i="2"/>
  <c r="R76" i="2"/>
  <c r="K18" i="5" s="1"/>
  <c r="R18" i="5" s="1"/>
  <c r="R64" i="2"/>
  <c r="K14" i="5" s="1"/>
  <c r="R14" i="5" s="1"/>
  <c r="R52" i="2"/>
  <c r="K11" i="5" s="1"/>
  <c r="R11" i="5" s="1"/>
  <c r="R362" i="1"/>
  <c r="M86" i="5" s="1"/>
  <c r="R86" i="5" s="1"/>
  <c r="P13" i="4"/>
  <c r="P33" i="5"/>
  <c r="R320" i="1"/>
  <c r="M71" i="5" s="1"/>
  <c r="R71" i="5" s="1"/>
  <c r="R149" i="1"/>
  <c r="M35" i="5" s="1"/>
  <c r="R35" i="5" s="1"/>
  <c r="R148" i="1"/>
  <c r="M34" i="5" s="1"/>
  <c r="R34" i="5" s="1"/>
  <c r="R21" i="1"/>
  <c r="M20" i="5" s="1"/>
  <c r="R20" i="5" s="1"/>
  <c r="R20" i="1"/>
  <c r="M19" i="5" s="1"/>
  <c r="R19" i="5" s="1"/>
  <c r="M160" i="1"/>
  <c r="Q160" i="1" s="1"/>
  <c r="L38" i="5" s="1"/>
  <c r="Q38" i="5" s="1"/>
  <c r="S38" i="5" s="1"/>
  <c r="P42" i="2"/>
  <c r="P362" i="1"/>
  <c r="M216" i="1"/>
  <c r="Q216" i="1" s="1"/>
  <c r="L50" i="5" s="1"/>
  <c r="Q50" i="5" s="1"/>
  <c r="S50" i="5" s="1"/>
  <c r="M138" i="1"/>
  <c r="Q138" i="1" s="1"/>
  <c r="L33" i="5" s="1"/>
  <c r="Q33" i="5" s="1"/>
  <c r="S33" i="5" s="1"/>
  <c r="M123" i="1"/>
  <c r="Q123" i="1" s="1"/>
  <c r="L30" i="5" s="1"/>
  <c r="Q30" i="5" s="1"/>
  <c r="S30" i="5" s="1"/>
  <c r="M34" i="1"/>
  <c r="Q34" i="1" s="1"/>
  <c r="L3" i="5" s="1"/>
  <c r="M64" i="1"/>
  <c r="M69" i="1" s="1"/>
  <c r="M71" i="1"/>
  <c r="Q71" i="1" s="1"/>
  <c r="L25" i="5" s="1"/>
  <c r="Q25" i="5" s="1"/>
  <c r="S25" i="5" s="1"/>
  <c r="M177" i="1"/>
  <c r="Q177" i="1" s="1"/>
  <c r="L42" i="5" s="1"/>
  <c r="Q42" i="5" s="1"/>
  <c r="S42" i="5" s="1"/>
  <c r="M39" i="1"/>
  <c r="Q39" i="1" s="1"/>
  <c r="L21" i="5" s="1"/>
  <c r="Q21" i="5" s="1"/>
  <c r="S21" i="5" s="1"/>
  <c r="M310" i="1"/>
  <c r="Q310" i="1" s="1"/>
  <c r="L70" i="5" s="1"/>
  <c r="Q70" i="5" s="1"/>
  <c r="S70" i="5" s="1"/>
  <c r="M305" i="1"/>
  <c r="Q305" i="1" s="1"/>
  <c r="L69" i="5" s="1"/>
  <c r="Q69" i="5" s="1"/>
  <c r="S69" i="5" s="1"/>
  <c r="P3" i="1"/>
  <c r="M101" i="1"/>
  <c r="Q101" i="1" s="1"/>
  <c r="L28" i="5" s="1"/>
  <c r="Q28" i="5" s="1"/>
  <c r="S28" i="5" s="1"/>
  <c r="M54" i="1"/>
  <c r="Q54" i="1" s="1"/>
  <c r="L18" i="5" s="1"/>
  <c r="M59" i="1"/>
  <c r="Q59" i="1" s="1"/>
  <c r="L22" i="5" s="1"/>
  <c r="M238" i="1"/>
  <c r="Q238" i="1" s="1"/>
  <c r="L54" i="5" s="1"/>
  <c r="Q54" i="5" s="1"/>
  <c r="S54" i="5" s="1"/>
  <c r="Q78" i="5" l="1"/>
  <c r="S78" i="5" s="1"/>
  <c r="J8" i="5"/>
  <c r="J5" i="5"/>
  <c r="Q5" i="5" s="1"/>
  <c r="S5" i="5" s="1"/>
  <c r="J7" i="5"/>
  <c r="Q7" i="5" s="1"/>
  <c r="S7" i="5" s="1"/>
  <c r="Q8" i="5"/>
  <c r="S8" i="5" s="1"/>
  <c r="J90" i="5"/>
  <c r="Q90" i="5" s="1"/>
  <c r="S90" i="5" s="1"/>
  <c r="J89" i="5"/>
  <c r="Q89" i="5" s="1"/>
  <c r="S89" i="5" s="1"/>
  <c r="J3" i="5"/>
  <c r="Q3" i="5" s="1"/>
  <c r="S3" i="5" s="1"/>
  <c r="J6" i="5"/>
  <c r="Q6" i="5" s="1"/>
  <c r="S6" i="5" s="1"/>
  <c r="J12" i="5"/>
  <c r="Q12" i="5" s="1"/>
  <c r="S12" i="5" s="1"/>
  <c r="J15" i="5"/>
  <c r="R243" i="1"/>
  <c r="M55" i="5" s="1"/>
  <c r="R55" i="5" s="1"/>
  <c r="J17" i="5"/>
  <c r="Q17" i="5" s="1"/>
  <c r="S17" i="5" s="1"/>
  <c r="J16" i="5"/>
  <c r="P69" i="1"/>
  <c r="P64" i="1"/>
  <c r="P70" i="1"/>
  <c r="J10" i="5"/>
  <c r="J26" i="5"/>
  <c r="J18" i="5"/>
  <c r="R305" i="1"/>
  <c r="M69" i="5" s="1"/>
  <c r="R69" i="5" s="1"/>
  <c r="R123" i="1"/>
  <c r="M30" i="5" s="1"/>
  <c r="R30" i="5" s="1"/>
  <c r="R238" i="1"/>
  <c r="M54" i="5" s="1"/>
  <c r="R54" i="5" s="1"/>
  <c r="R34" i="1"/>
  <c r="M3" i="5" s="1"/>
  <c r="R54" i="1"/>
  <c r="M18" i="5" s="1"/>
  <c r="R39" i="1"/>
  <c r="M21" i="5" s="1"/>
  <c r="R21" i="5" s="1"/>
  <c r="R177" i="1"/>
  <c r="M42" i="5" s="1"/>
  <c r="R42" i="5" s="1"/>
  <c r="R216" i="1"/>
  <c r="M50" i="5" s="1"/>
  <c r="R50" i="5" s="1"/>
  <c r="R310" i="1"/>
  <c r="M70" i="5" s="1"/>
  <c r="R70" i="5" s="1"/>
  <c r="R59" i="1"/>
  <c r="M22" i="5" s="1"/>
  <c r="R138" i="1"/>
  <c r="M33" i="5" s="1"/>
  <c r="R33" i="5" s="1"/>
  <c r="R160" i="1"/>
  <c r="M38" i="5" s="1"/>
  <c r="R38" i="5" s="1"/>
  <c r="P182" i="1"/>
  <c r="R182" i="1"/>
  <c r="R71" i="1"/>
  <c r="M25" i="5" s="1"/>
  <c r="R25" i="5" s="1"/>
  <c r="R101" i="1"/>
  <c r="M28" i="5" s="1"/>
  <c r="R28" i="5" s="1"/>
  <c r="O69" i="1"/>
  <c r="R69" i="1" s="1"/>
  <c r="M23" i="5" s="1"/>
  <c r="R23" i="5" s="1"/>
  <c r="R64" i="1"/>
  <c r="Q64" i="1"/>
  <c r="Q69" i="1"/>
  <c r="L23" i="5" s="1"/>
  <c r="Q23" i="5" s="1"/>
  <c r="S23" i="5" s="1"/>
  <c r="P160" i="1"/>
  <c r="M70" i="1"/>
  <c r="Q70" i="1" s="1"/>
  <c r="L24" i="5" s="1"/>
  <c r="Q24" i="5" s="1"/>
  <c r="S24" i="5" s="1"/>
  <c r="P216" i="1"/>
  <c r="P123" i="1"/>
  <c r="P138" i="1"/>
  <c r="P34" i="1"/>
  <c r="O70" i="1"/>
  <c r="P177" i="1"/>
  <c r="P71" i="1"/>
  <c r="P39" i="1"/>
  <c r="P305" i="1"/>
  <c r="P101" i="1"/>
  <c r="P243" i="1"/>
  <c r="P310" i="1"/>
  <c r="P54" i="1"/>
  <c r="P59" i="1"/>
  <c r="P238" i="1"/>
  <c r="Q10" i="5" l="1"/>
  <c r="S10" i="5" s="1"/>
  <c r="M43" i="5"/>
  <c r="R43" i="5" s="1"/>
  <c r="M45" i="5"/>
  <c r="R45" i="5" s="1"/>
  <c r="J31" i="5"/>
  <c r="J22" i="5"/>
  <c r="Q22" i="5" s="1"/>
  <c r="J9" i="5"/>
  <c r="J13" i="5"/>
  <c r="Q13" i="5" s="1"/>
  <c r="J11" i="5"/>
  <c r="Q11" i="5" s="1"/>
  <c r="S11" i="5" s="1"/>
  <c r="J35" i="5"/>
  <c r="Q18" i="5"/>
  <c r="S18" i="5" s="1"/>
  <c r="J29" i="5"/>
  <c r="Q29" i="5" s="1"/>
  <c r="S29" i="5" s="1"/>
  <c r="Q16" i="5"/>
  <c r="S16" i="5" s="1"/>
  <c r="J14" i="5"/>
  <c r="J34" i="5"/>
  <c r="J53" i="5"/>
  <c r="R70" i="1"/>
  <c r="M24" i="5" s="1"/>
  <c r="R24" i="5" s="1"/>
  <c r="S22" i="5" l="1"/>
  <c r="Q15" i="5"/>
  <c r="S15" i="5" s="1"/>
  <c r="Q14" i="5"/>
  <c r="S14" i="5" s="1"/>
  <c r="Q9" i="5"/>
  <c r="S9" i="5" s="1"/>
  <c r="S13" i="5"/>
  <c r="I8" i="2"/>
  <c r="K8" i="2" s="1"/>
  <c r="I9" i="2"/>
  <c r="K9" i="2" s="1"/>
  <c r="I10" i="2"/>
  <c r="K10" i="2" s="1"/>
  <c r="M8" i="2" l="1" a="1"/>
  <c r="M8" i="2" l="1"/>
  <c r="Q8" i="2" s="1"/>
  <c r="I4" i="5" s="1"/>
  <c r="J4" i="5" s="1"/>
  <c r="O8" i="2"/>
  <c r="R8" i="2" s="1"/>
  <c r="K4" i="5" s="1"/>
  <c r="R4" i="5" s="1"/>
  <c r="P8" i="2" l="1"/>
  <c r="Q4" i="5"/>
  <c r="S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<sst xmlns="http://schemas.openxmlformats.org/spreadsheetml/2006/main" count="1398" uniqueCount="950">
  <si>
    <t>unit: kcal/mol</t>
    <phoneticPr fontId="1"/>
  </si>
  <si>
    <t>Competitive reaction: 0 (training data), regioselective data: 1 (test data)</t>
    <phoneticPr fontId="1"/>
  </si>
  <si>
    <t>Distinguish symmetry and reaction face</t>
    <phoneticPr fontId="1"/>
  </si>
  <si>
    <r>
      <t>A</t>
    </r>
    <r>
      <rPr>
        <b/>
        <vertAlign val="subscript"/>
        <sz val="10"/>
        <color theme="1"/>
        <rFont val="Arial"/>
        <family val="2"/>
      </rPr>
      <t>1</t>
    </r>
    <r>
      <rPr>
        <b/>
        <sz val="10"/>
        <color theme="1"/>
        <rFont val="Arial"/>
        <family val="2"/>
      </rPr>
      <t xml:space="preserve"> = fluorenone</t>
    </r>
    <phoneticPr fontId="1"/>
  </si>
  <si>
    <r>
      <t>A</t>
    </r>
    <r>
      <rPr>
        <b/>
        <vertAlign val="subscript"/>
        <sz val="10"/>
        <color theme="1"/>
        <rFont val="Arial"/>
        <family val="2"/>
      </rPr>
      <t>2</t>
    </r>
    <r>
      <rPr>
        <b/>
        <sz val="10"/>
        <color theme="1"/>
        <rFont val="Arial"/>
        <family val="2"/>
      </rPr>
      <t xml:space="preserve"> = benzophenone</t>
    </r>
    <phoneticPr fontId="1"/>
  </si>
  <si>
    <t>substrate1=dibenzosuberone</t>
    <phoneticPr fontId="1"/>
  </si>
  <si>
    <t>for acetophenone skelton (from ref https://pubs.acs.org/doi/pdf/10.1021/cr00002a004?casa_token=xCt8l1UZ8wMAAAAA:RPkuIj9tMEk-r-GBzRkKO6zfp1iCt2HTOClZQQm07YvdOjqoodlWRBhZ8BGXCjV2KWi9O3-I1KyW7kkO9qo)</t>
    <phoneticPr fontId="1"/>
  </si>
  <si>
    <t>for diaryl cycloketone</t>
    <phoneticPr fontId="1"/>
  </si>
  <si>
    <t>1H-NMR reference</t>
    <phoneticPr fontId="1"/>
  </si>
  <si>
    <t>entry</t>
    <phoneticPr fontId="1"/>
  </si>
  <si>
    <t>Supplier (Catalog No.)</t>
    <phoneticPr fontId="1"/>
  </si>
  <si>
    <t>CAS RN</t>
    <phoneticPr fontId="1"/>
  </si>
  <si>
    <t>name</t>
    <phoneticPr fontId="1"/>
  </si>
  <si>
    <t>analogue</t>
    <phoneticPr fontId="1"/>
  </si>
  <si>
    <t>test</t>
    <phoneticPr fontId="1"/>
  </si>
  <si>
    <t>SMILES</t>
    <phoneticPr fontId="1"/>
  </si>
  <si>
    <t>temperature</t>
    <phoneticPr fontId="1"/>
  </si>
  <si>
    <t>ΔΔG</t>
    <phoneticPr fontId="1"/>
  </si>
  <si>
    <t>benzophenone correction</t>
    <phoneticPr fontId="1"/>
  </si>
  <si>
    <t>±σ</t>
    <phoneticPr fontId="1"/>
  </si>
  <si>
    <t>ΔΔG.expt.</t>
    <phoneticPr fontId="1"/>
  </si>
  <si>
    <t>±σ.expt.</t>
  </si>
  <si>
    <t>k2/k1</t>
    <phoneticPr fontId="1"/>
  </si>
  <si>
    <t>Hammett σ</t>
    <phoneticPr fontId="1"/>
  </si>
  <si>
    <t>carbonyl angle</t>
    <phoneticPr fontId="1"/>
  </si>
  <si>
    <t>ketone</t>
    <phoneticPr fontId="1"/>
  </si>
  <si>
    <t>alcohol</t>
    <phoneticPr fontId="1"/>
  </si>
  <si>
    <t>reference</t>
    <phoneticPr fontId="1"/>
  </si>
  <si>
    <t>isolated yield after reduction to monoketone</t>
    <phoneticPr fontId="1"/>
  </si>
  <si>
    <t>C12</t>
    <phoneticPr fontId="1"/>
  </si>
  <si>
    <t>TCI(C1335)</t>
    <phoneticPr fontId="1"/>
  </si>
  <si>
    <t>13547-70-1</t>
    <phoneticPr fontId="1"/>
  </si>
  <si>
    <t>chain</t>
    <phoneticPr fontId="1"/>
  </si>
  <si>
    <t>O=C(CCl)C(C)(C)C</t>
    <phoneticPr fontId="1"/>
  </si>
  <si>
    <t>SDBS(No.:19329)</t>
    <phoneticPr fontId="1"/>
  </si>
  <si>
    <r>
      <rPr>
        <sz val="10"/>
        <color rgb="FF222222"/>
        <rFont val="Arial"/>
        <family val="2"/>
      </rPr>
      <t>Degennaro, Leonardo, et al. "External trapping of halomethyllithium enabled by flow microreactors." </t>
    </r>
    <r>
      <rPr>
        <i/>
        <sz val="10"/>
        <color rgb="FF222222"/>
        <rFont val="Arial"/>
        <family val="2"/>
      </rPr>
      <t>Advanced Synthesis &amp; Catalysis</t>
    </r>
    <r>
      <rPr>
        <sz val="10"/>
        <color rgb="FF222222"/>
        <rFont val="Arial"/>
        <family val="2"/>
      </rPr>
      <t> 357.1 (2015): 21-27.</t>
    </r>
  </si>
  <si>
    <t>this work</t>
    <phoneticPr fontId="1"/>
  </si>
  <si>
    <t>A12</t>
    <phoneticPr fontId="1"/>
  </si>
  <si>
    <t>TCI(T0848)</t>
    <phoneticPr fontId="1"/>
  </si>
  <si>
    <t>434-45-7</t>
    <phoneticPr fontId="1"/>
  </si>
  <si>
    <t>acetophenone</t>
    <phoneticPr fontId="1"/>
  </si>
  <si>
    <t>O=C(C(F)(F)F)c1ccccc1</t>
    <phoneticPr fontId="1"/>
  </si>
  <si>
    <t>SDBS(No.:10872)</t>
    <phoneticPr fontId="1"/>
  </si>
  <si>
    <r>
      <t>Peng, Peng, et al. "Lithium triethylborohydride-promoted generation of α, α-difluoroenolates from 2-iodo-2, 2-difluoroacetophenones: an unprecedented utilization of lithium triethylborohydride." </t>
    </r>
    <r>
      <rPr>
        <i/>
        <sz val="10"/>
        <color rgb="FF222222"/>
        <rFont val="Arial"/>
        <family val="2"/>
      </rPr>
      <t>RSC Advances</t>
    </r>
    <r>
      <rPr>
        <sz val="10"/>
        <color rgb="FF222222"/>
        <rFont val="Arial"/>
        <family val="2"/>
      </rPr>
      <t> 7.88 (2017): 56034-56037.</t>
    </r>
  </si>
  <si>
    <t>D10</t>
    <phoneticPr fontId="1"/>
  </si>
  <si>
    <t>TCI(D4149)</t>
    <phoneticPr fontId="1"/>
  </si>
  <si>
    <t xml:space="preserve">4255-62-3 </t>
    <phoneticPr fontId="1"/>
  </si>
  <si>
    <t>aliphaticcyclo</t>
    <phoneticPr fontId="1"/>
  </si>
  <si>
    <t>O=C1[13CH2]CC(C)(C)CC1</t>
    <phoneticPr fontId="1"/>
  </si>
  <si>
    <r>
      <rPr>
        <sz val="10"/>
        <color rgb="FF222222"/>
        <rFont val="Arial"/>
        <family val="2"/>
      </rPr>
      <t>Bolli, Martin H., et al. "Novel S1P1 Receptor Agonists-Part 2: From Bicyclo [3.1. 0] hexane-Fused Thiophenes to Isobutyl Substituted Thiophenes." </t>
    </r>
    <r>
      <rPr>
        <i/>
        <sz val="10"/>
        <color rgb="FF222222"/>
        <rFont val="Arial"/>
        <family val="2"/>
      </rPr>
      <t>Journal of Medicinal Chemistry</t>
    </r>
    <r>
      <rPr>
        <sz val="10"/>
        <color rgb="FF222222"/>
        <rFont val="Arial"/>
        <family val="2"/>
      </rPr>
      <t> 57.1 (2014): 78-97.</t>
    </r>
  </si>
  <si>
    <r>
      <t>Uyanik, Muhammet, Matsujiro Akakura, and Kazuaki Ishihara. "2-Iodoxybenzenesulfonic acid as an extremely active catalyst for the selective oxidation of alcohols to aldehydes, ketones, carboxylic acids, and enones with oxone." </t>
    </r>
    <r>
      <rPr>
        <i/>
        <sz val="10"/>
        <color rgb="FF222222"/>
        <rFont val="Arial"/>
        <family val="2"/>
      </rPr>
      <t>Journal of the American Chemical Society</t>
    </r>
    <r>
      <rPr>
        <sz val="10"/>
        <color rgb="FF222222"/>
        <rFont val="Arial"/>
        <family val="2"/>
      </rPr>
      <t> 131.1 (2009): 251-262.</t>
    </r>
  </si>
  <si>
    <t>B5</t>
    <phoneticPr fontId="1"/>
  </si>
  <si>
    <t>TCI(I0649)</t>
    <phoneticPr fontId="1"/>
  </si>
  <si>
    <t>615-13-4</t>
    <phoneticPr fontId="1"/>
  </si>
  <si>
    <t>arylcyclo</t>
    <phoneticPr fontId="1"/>
  </si>
  <si>
    <t>O=C1[13CH2]c2ccccc2C1</t>
    <phoneticPr fontId="1"/>
  </si>
  <si>
    <r>
      <rPr>
        <sz val="10"/>
        <color rgb="FF222222"/>
        <rFont val="Arial"/>
        <family val="2"/>
      </rPr>
      <t>Phatake, Ravindra S., and Chepuri V. Ramana. "Oxone–acetone mediated Wacker-type oxidation of benzo-fused olefins." </t>
    </r>
    <r>
      <rPr>
        <i/>
        <sz val="10"/>
        <color rgb="FF222222"/>
        <rFont val="Arial"/>
        <family val="2"/>
      </rPr>
      <t>Tetrahedron Letters</t>
    </r>
    <r>
      <rPr>
        <sz val="10"/>
        <color rgb="FF222222"/>
        <rFont val="Arial"/>
        <family val="2"/>
      </rPr>
      <t> 56.25 (2015): 3868-3871.</t>
    </r>
  </si>
  <si>
    <t>SDBS(No.:6339)</t>
    <phoneticPr fontId="1"/>
  </si>
  <si>
    <t>D11(trans)</t>
    <phoneticPr fontId="1"/>
  </si>
  <si>
    <t>TCI(B1074)</t>
    <phoneticPr fontId="1"/>
  </si>
  <si>
    <t xml:space="preserve">98-53-3 </t>
    <phoneticPr fontId="1"/>
  </si>
  <si>
    <t>O=C1[13CH2]C[C@@H](C(C)(C)C)CC1</t>
    <phoneticPr fontId="1"/>
  </si>
  <si>
    <t>SDBS(No.:843)</t>
    <phoneticPr fontId="1"/>
  </si>
  <si>
    <r>
      <t>Maegawa, Tomohiro, et al. "Efficient and practical arene hydrogenation by heterogeneous catalysts under mild conditions." </t>
    </r>
    <r>
      <rPr>
        <i/>
        <sz val="10"/>
        <color rgb="FF222222"/>
        <rFont val="Arial"/>
        <family val="2"/>
      </rPr>
      <t>Chemistry–A European Journal</t>
    </r>
    <r>
      <rPr>
        <sz val="10"/>
        <color rgb="FF222222"/>
        <rFont val="Arial"/>
        <family val="2"/>
      </rPr>
      <t> 15.28 (2009): 6953-6963.</t>
    </r>
  </si>
  <si>
    <t>D11(cis)</t>
    <phoneticPr fontId="1"/>
  </si>
  <si>
    <t>O=C1[13CH2]C[C@H](C(C)(C)C)CC1</t>
    <phoneticPr fontId="1"/>
  </si>
  <si>
    <t>A4</t>
    <phoneticPr fontId="1"/>
  </si>
  <si>
    <t>TCI(N0111)</t>
    <phoneticPr fontId="1"/>
  </si>
  <si>
    <t xml:space="preserve">100-19-6 </t>
    <phoneticPr fontId="1"/>
  </si>
  <si>
    <t>O=C(C)c1ccc([N+]([O-])=O)cc1</t>
    <phoneticPr fontId="1"/>
  </si>
  <si>
    <t>SDBS(No.:1014)</t>
    <phoneticPr fontId="1"/>
  </si>
  <si>
    <r>
      <t>Yang, Yongsheng, et al. "Formal hydration of non-activated terminal olefins using tandem catalysts." </t>
    </r>
    <r>
      <rPr>
        <i/>
        <sz val="10"/>
        <color rgb="FF222222"/>
        <rFont val="Arial"/>
        <family val="2"/>
      </rPr>
      <t>Chemical Communications</t>
    </r>
    <r>
      <rPr>
        <sz val="10"/>
        <color rgb="FF222222"/>
        <rFont val="Arial"/>
        <family val="2"/>
      </rPr>
      <t> 50.20 (2014): 2608-2611.</t>
    </r>
  </si>
  <si>
    <t>D8(cis)</t>
    <phoneticPr fontId="1"/>
  </si>
  <si>
    <t>TCI(M0198)</t>
    <phoneticPr fontId="1"/>
  </si>
  <si>
    <t>591-24-2</t>
    <phoneticPr fontId="1"/>
  </si>
  <si>
    <t>O=C1C[C@H](C)CCC1</t>
    <phoneticPr fontId="1"/>
  </si>
  <si>
    <t>SDBS(No.:3734)</t>
    <phoneticPr fontId="1"/>
  </si>
  <si>
    <t>D8(trans)</t>
    <phoneticPr fontId="1"/>
  </si>
  <si>
    <t>O=C1C[C@@H](C)CCC1</t>
    <phoneticPr fontId="1"/>
  </si>
  <si>
    <t>C3</t>
    <phoneticPr fontId="1"/>
  </si>
  <si>
    <t>TCI(P1336)</t>
    <phoneticPr fontId="1"/>
  </si>
  <si>
    <t>1817-57-8</t>
  </si>
  <si>
    <t>O=C(C)C#Cc1ccccc1</t>
    <phoneticPr fontId="1"/>
  </si>
  <si>
    <t>SDBS(No.:23711)</t>
    <phoneticPr fontId="1"/>
  </si>
  <si>
    <t>Hashmi, A. Stephen K., et al. "Regioselectivity switch: gold (I)-catalyzed oxidative rearrangement of propargyl alcohols to 1, 3-diketones." The Journal of Organic Chemistry 77.17 (2012): 7761-7767.</t>
  </si>
  <si>
    <t>A9</t>
    <phoneticPr fontId="1"/>
  </si>
  <si>
    <t>Aldrich(N9381)</t>
    <phoneticPr fontId="1"/>
  </si>
  <si>
    <t>121-89-1</t>
    <phoneticPr fontId="1"/>
  </si>
  <si>
    <t>O=C(C)c1cc([N+]([O-])=O)ccc1</t>
    <phoneticPr fontId="1"/>
  </si>
  <si>
    <t>SDBS(No.:1021)</t>
    <phoneticPr fontId="1"/>
  </si>
  <si>
    <t>Scifinder (Spectrum IDWSLH_2017_019461, Spectral data were obtained from John Wiley &amp; Sons, Inc.)</t>
    <phoneticPr fontId="1"/>
  </si>
  <si>
    <t>B6</t>
    <phoneticPr fontId="1"/>
  </si>
  <si>
    <t>TCI(T1167)</t>
    <phoneticPr fontId="1"/>
  </si>
  <si>
    <t>530-93-8</t>
    <phoneticPr fontId="1"/>
  </si>
  <si>
    <t>O=C1Cc2ccccc2CC1</t>
    <phoneticPr fontId="1"/>
  </si>
  <si>
    <t>Wang, Zhi-Ming, et al. "Ruthenium (IV) porphyrin catalyzed highly selective oxidation of internal alkenes into ketones with Cl2pyNO as terminal oxidant." Tetrahedron Letters 55.10 (2014): 1736-1739.</t>
  </si>
  <si>
    <t>Li, Huaifeng, et al. "Selective catalytic hydrogenation of arenols by a well-defined complex of ruthenium and phosphorus–nitrogen PN3–pincer ligand containing a phenanthroline backbone." ACS Catalysis 7.7 (2017): 4446-4450.</t>
    <phoneticPr fontId="1"/>
  </si>
  <si>
    <t>D9(trans)</t>
    <phoneticPr fontId="1"/>
  </si>
  <si>
    <t>TCI(M0199)</t>
    <phoneticPr fontId="1"/>
  </si>
  <si>
    <t>589-92-4</t>
    <phoneticPr fontId="1"/>
  </si>
  <si>
    <t>O=C1[13CH2]C[C@@H](C)CC1</t>
    <phoneticPr fontId="1"/>
  </si>
  <si>
    <t>SDBS(No.:5761)</t>
    <phoneticPr fontId="1"/>
  </si>
  <si>
    <t>D9(cis)</t>
    <phoneticPr fontId="1"/>
  </si>
  <si>
    <t>O=C1[13CH2]C[C@H](C)CC1</t>
    <phoneticPr fontId="1"/>
  </si>
  <si>
    <t>D4</t>
    <phoneticPr fontId="1"/>
  </si>
  <si>
    <t>TCI(C0489)</t>
    <phoneticPr fontId="1"/>
  </si>
  <si>
    <t>108-94-1</t>
    <phoneticPr fontId="1"/>
  </si>
  <si>
    <t>O=C1[13CH2]CCCC1</t>
    <phoneticPr fontId="1"/>
  </si>
  <si>
    <t>SDBS(No.:571)</t>
    <phoneticPr fontId="1"/>
  </si>
  <si>
    <t>SDBS(No.:581)</t>
    <phoneticPr fontId="1"/>
  </si>
  <si>
    <t>B7</t>
    <phoneticPr fontId="1"/>
  </si>
  <si>
    <t>TCI(F0021)</t>
    <phoneticPr fontId="1"/>
  </si>
  <si>
    <t xml:space="preserve">486-25-9 </t>
    <phoneticPr fontId="1"/>
  </si>
  <si>
    <t>O=C1[13c]2ccccc2c3ccccc13</t>
    <phoneticPr fontId="1"/>
  </si>
  <si>
    <t>SDBS(No.:2223)</t>
    <phoneticPr fontId="1"/>
  </si>
  <si>
    <t>SDBS(No.:4909)</t>
    <phoneticPr fontId="1"/>
  </si>
  <si>
    <t>D1(cis)</t>
    <phoneticPr fontId="1"/>
  </si>
  <si>
    <t>TCI(B6029)</t>
    <phoneticPr fontId="1"/>
  </si>
  <si>
    <t>30830-27-4</t>
    <phoneticPr fontId="1"/>
  </si>
  <si>
    <t>3-(benzyloxy)cyclobutanone(cis)</t>
    <phoneticPr fontId="1"/>
  </si>
  <si>
    <t>O=C1[13CH2][C@H](OCc2ccccc2)C1</t>
    <phoneticPr fontId="1"/>
  </si>
  <si>
    <t>McConathy, Jonathan, et al. "Improved synthesis of anti-[18F] FACBC: improved preparation of labeling precursor and automated radiosynthesis." Applied Radiation and Isotopes 58.6 (2003): 657-666.</t>
  </si>
  <si>
    <t>Franck, Dominic, et al. "Investigations into the synthesis, radiofluorination and conjugation of a new [18F] fluorocyclobutyl prosthetic group and its in vitro stability using a tyrosine model system." Bioorganic &amp; medicinal chemistry 21.3 (2013): 643-652.</t>
  </si>
  <si>
    <t>D1(trans)</t>
    <phoneticPr fontId="1"/>
  </si>
  <si>
    <t>3-(benzyloxy)cyclobutanone(trans)</t>
    <phoneticPr fontId="1"/>
  </si>
  <si>
    <t>O=C1[13CH2][C@@H](OCc2ccccc2)C1</t>
    <phoneticPr fontId="1"/>
  </si>
  <si>
    <t>Confirmed from the Enamine database spectrum available on SciFinder.</t>
    <phoneticPr fontId="1"/>
  </si>
  <si>
    <t>A11</t>
    <phoneticPr fontId="1"/>
  </si>
  <si>
    <r>
      <t>TCI(T1546</t>
    </r>
    <r>
      <rPr>
        <b/>
        <sz val="10"/>
        <color theme="1"/>
        <rFont val="游ゴシック"/>
        <family val="2"/>
        <charset val="128"/>
      </rPr>
      <t>）</t>
    </r>
    <phoneticPr fontId="1"/>
  </si>
  <si>
    <t xml:space="preserve">349-76-8 </t>
    <phoneticPr fontId="1"/>
  </si>
  <si>
    <t>O=C(C)c1cc(C(F)(F)F)ccc1</t>
    <phoneticPr fontId="1"/>
  </si>
  <si>
    <t>SDBS(No.:21485)</t>
    <phoneticPr fontId="1"/>
  </si>
  <si>
    <t>Bigler, Raphael, Raffael Huber, and Antonio Mezzetti. "Highly enantioselective transfer hydrogenation of ketones with chiral (NH) 2P2 macrocyclic iron (II) complexes." Angewandte Chemie 127.17 (2015): 5260-5263.</t>
  </si>
  <si>
    <t>E4</t>
    <phoneticPr fontId="1"/>
  </si>
  <si>
    <t>TCI(A0719)</t>
    <phoneticPr fontId="1"/>
  </si>
  <si>
    <t>700-58-3</t>
    <phoneticPr fontId="1"/>
  </si>
  <si>
    <t>polycyclic</t>
    <phoneticPr fontId="1"/>
  </si>
  <si>
    <t>C1C2CC3CC1C[13CH](C2)C3=O</t>
    <phoneticPr fontId="1"/>
  </si>
  <si>
    <t>SDBS(No.:403)</t>
    <phoneticPr fontId="1"/>
  </si>
  <si>
    <t>SDBS(No.:25)</t>
    <phoneticPr fontId="1"/>
  </si>
  <si>
    <t>A6</t>
    <phoneticPr fontId="1"/>
  </si>
  <si>
    <t>TCI(T1784)</t>
    <phoneticPr fontId="1"/>
  </si>
  <si>
    <t>709-63-7</t>
    <phoneticPr fontId="1"/>
  </si>
  <si>
    <t>O=C(C)c1ccc(C(F)(F)F)cc1</t>
    <phoneticPr fontId="1"/>
  </si>
  <si>
    <t>SDBS(No.:23190)</t>
    <phoneticPr fontId="1"/>
  </si>
  <si>
    <t>Peng, Dongjie, Mintao Zhang, and Zheng Huang. "A General, Practical Triethylborane‐Catalyzed Reduction of Carbonyl Functions to Alcohols." Chemistry–A European Journal 21.42 (2015): 14737-14741.</t>
  </si>
  <si>
    <t>C8</t>
    <phoneticPr fontId="1"/>
  </si>
  <si>
    <t>TCI(F0970)</t>
    <phoneticPr fontId="1"/>
  </si>
  <si>
    <t>2836-82-0</t>
    <phoneticPr fontId="1"/>
  </si>
  <si>
    <t>O=C(C)Cc1c(F)cccc1</t>
    <phoneticPr fontId="1"/>
  </si>
  <si>
    <t>Fu, Wai Chung, Zhongyuan Zhou, and Fuk Yee Kwong. "Preparation of a Highly Congested Carbazoyl-Derived P, N-Type Phosphine Ligand for Acetone Monoarylations." Organometallics 35.10 (2016): 1553-1558.</t>
    <phoneticPr fontId="1"/>
  </si>
  <si>
    <t>Liu, Weiping, et al. "A General Regioselective Synthesis of Alcohols by Cobalt‐Catalyzed Hydrogenation of Epoxides." Angewandte Chemie 132.28 (2020): 11417-11420.</t>
  </si>
  <si>
    <t>C2</t>
    <phoneticPr fontId="1"/>
  </si>
  <si>
    <t>TCI(B0405)</t>
    <phoneticPr fontId="1"/>
  </si>
  <si>
    <t>2550-26-7</t>
    <phoneticPr fontId="1"/>
  </si>
  <si>
    <t>O=C(C)CCc1ccccc1</t>
    <phoneticPr fontId="1"/>
  </si>
  <si>
    <t>SDBS(No.:13611)</t>
    <phoneticPr fontId="1"/>
  </si>
  <si>
    <t>SDBS(No.:1443)</t>
  </si>
  <si>
    <t>C4</t>
    <phoneticPr fontId="1"/>
  </si>
  <si>
    <t>TCI(D1157)</t>
    <phoneticPr fontId="1"/>
  </si>
  <si>
    <t xml:space="preserve">5436-21-5 </t>
    <phoneticPr fontId="1"/>
  </si>
  <si>
    <t>O=C(C)CC(OC)OC</t>
    <phoneticPr fontId="1"/>
  </si>
  <si>
    <t>SDBS(No.:3407)</t>
    <phoneticPr fontId="1"/>
  </si>
  <si>
    <t>Heathcock, Clayton H., Syunichi Kiyooka, and Todd A. Blumenkopf. "Acyclic stereoselection. 22. Diastereofacial selectivity in the Lewis acid mediated reactions of allylsilanes with chiral aldehydes and enones." The Journal of Organic Chemistry 49.22 (1984): 4214-4223.</t>
    <phoneticPr fontId="1"/>
  </si>
  <si>
    <t>C6</t>
    <phoneticPr fontId="1"/>
  </si>
  <si>
    <t>TCI(C3585)</t>
    <phoneticPr fontId="1"/>
  </si>
  <si>
    <t>6004-60-0</t>
    <phoneticPr fontId="1"/>
  </si>
  <si>
    <t>O=C(C)C1CCCC1</t>
    <phoneticPr fontId="1"/>
  </si>
  <si>
    <t>Schmidt, Gunther, et al. "Practical synthesis of a S1P receptor 1 agonist via a guareschi–thorpe reaction." Organic Process Research &amp; Development 20.9 (2016): 1637-1646.</t>
    <phoneticPr fontId="1"/>
  </si>
  <si>
    <t>Hinkens, D. M.; Midland, M. M. Investigation of Cyclization Reactions of Dicyclohexyl-6-iodo- and -6-tosylhexenylborane. A Facile Radical Cyclization Diverted to a Rearrangement−Cyclization with Base. J. Org. Chem. 2009, 74(11), 4143–4148.</t>
  </si>
  <si>
    <t>B2</t>
    <phoneticPr fontId="1"/>
  </si>
  <si>
    <t>TCI(C1644)</t>
    <phoneticPr fontId="1"/>
  </si>
  <si>
    <t>42348-86-7</t>
    <phoneticPr fontId="1"/>
  </si>
  <si>
    <t>O=C1c2ccc(Cl)cc2CC1</t>
    <phoneticPr fontId="1"/>
  </si>
  <si>
    <t>Chen, Peng-hao, et al. "Rh-catalyzed reagent-free ring expansion of cyclobutenones and benzocyclobutenones." Chemical science 6.10 (2015): 5440-5445.</t>
  </si>
  <si>
    <t>Arp, Forrest O., and Gregory C. Fu. "Catalytic enantioselective Negishi reactions of racemic secondary benzylic halides." Journal of the American Chemical Society 127.30 (2005): 10482-10483.</t>
  </si>
  <si>
    <t>C5</t>
    <phoneticPr fontId="1"/>
  </si>
  <si>
    <t>TCI(N0293)</t>
    <phoneticPr fontId="1"/>
  </si>
  <si>
    <t xml:space="preserve">821-55-6 </t>
    <phoneticPr fontId="1"/>
  </si>
  <si>
    <t>CCCCCCCC(=O)C</t>
    <phoneticPr fontId="1"/>
  </si>
  <si>
    <t>SDBS(No.:2134)</t>
    <phoneticPr fontId="1"/>
  </si>
  <si>
    <t>SDBS(No.:6584)</t>
    <phoneticPr fontId="1"/>
  </si>
  <si>
    <t>D13(trans)</t>
    <phoneticPr fontId="1"/>
  </si>
  <si>
    <t>TCI(T0602)</t>
    <phoneticPr fontId="1"/>
  </si>
  <si>
    <t xml:space="preserve"> 873-94-9</t>
    <phoneticPr fontId="1"/>
  </si>
  <si>
    <t>O=C1CC(C)(C)C[C@@H](C)C1</t>
    <phoneticPr fontId="1"/>
  </si>
  <si>
    <t>SDBS(No.:6517)</t>
    <phoneticPr fontId="1"/>
  </si>
  <si>
    <t>SDBS(No.:6556)</t>
    <phoneticPr fontId="1"/>
  </si>
  <si>
    <t>D13(cis)</t>
    <phoneticPr fontId="1"/>
  </si>
  <si>
    <t>O=C1CC(C)(C)C[C@H](C)C1</t>
    <phoneticPr fontId="1"/>
  </si>
  <si>
    <t>SDBS(No.:6555)</t>
    <phoneticPr fontId="1"/>
  </si>
  <si>
    <t>A5</t>
    <phoneticPr fontId="1"/>
  </si>
  <si>
    <t>TCI( C0033)</t>
    <phoneticPr fontId="1"/>
  </si>
  <si>
    <t>99-91-2</t>
    <phoneticPr fontId="1"/>
  </si>
  <si>
    <t>O=C(C)c1ccc(Cl)cc1</t>
    <phoneticPr fontId="1"/>
  </si>
  <si>
    <t>SDBS(No.:2376)</t>
    <phoneticPr fontId="1"/>
  </si>
  <si>
    <t>SDBS(Np.:6159)</t>
    <phoneticPr fontId="1"/>
  </si>
  <si>
    <t>A17</t>
    <phoneticPr fontId="1"/>
  </si>
  <si>
    <t>TCI(D6091)</t>
    <phoneticPr fontId="1"/>
  </si>
  <si>
    <t xml:space="preserve">938-16-9 </t>
    <phoneticPr fontId="1"/>
  </si>
  <si>
    <t>O=C(C(C)(C)C)c1ccccc1</t>
    <phoneticPr fontId="1"/>
  </si>
  <si>
    <t>Zhu, Yingguang, Baoguo Zhao, and Yian Shi. "Highly efficient Cu (I)-catalyzed oxidation of alcohols to ketones and aldehydes with diaziridinone." Organic letters 15.5 (2013): 992-995.</t>
  </si>
  <si>
    <r>
      <t>Kuriyama, Masami, Rumiko Shimazawa, and Ryuichi Shirai. "Efficient 1, 2-Addition of Aryl-and Alkenylboronic Acids to Aldehydes Catalyzed by the Palladium/Thioether</t>
    </r>
    <r>
      <rPr>
        <sz val="10"/>
        <color theme="1"/>
        <rFont val="ＭＳ Ｐゴシック"/>
        <family val="3"/>
        <charset val="128"/>
      </rPr>
      <t>−</t>
    </r>
    <r>
      <rPr>
        <sz val="10"/>
        <color theme="1"/>
        <rFont val="Arial"/>
        <family val="2"/>
      </rPr>
      <t xml:space="preserve"> Imidazolinium Chloride System." The Journal of Organic Chemistry 73.4 (2008): 1597-1600.</t>
    </r>
  </si>
  <si>
    <t>A10</t>
    <phoneticPr fontId="1"/>
  </si>
  <si>
    <t>TCI(C0096)</t>
    <phoneticPr fontId="1"/>
  </si>
  <si>
    <t xml:space="preserve"> 99-02-5</t>
    <phoneticPr fontId="1"/>
  </si>
  <si>
    <t>O=C(C)c1cc(Cl)ccc1</t>
    <phoneticPr fontId="1"/>
  </si>
  <si>
    <t>SDBS(No.:2383)</t>
    <phoneticPr fontId="1"/>
  </si>
  <si>
    <t>Jung, Thais Cordeiro, Gilles Argouarch, and Pierre van De Weghe. "Cyclopentadienyliron dicarbonyl dimer: A simple tool for the hydrosilylation of aldehydes and ketones under air." Catalysis Communications 78 (2016): 52-54.</t>
  </si>
  <si>
    <t>B10</t>
    <phoneticPr fontId="1"/>
  </si>
  <si>
    <t>TCI(D1791)</t>
    <phoneticPr fontId="1"/>
  </si>
  <si>
    <t>2222-33-5</t>
    <phoneticPr fontId="1"/>
  </si>
  <si>
    <t>O=C1[13c]2ccccc2C=Cc3ccccc13</t>
    <phoneticPr fontId="1"/>
  </si>
  <si>
    <t>SDBS(No.:12961)</t>
    <phoneticPr fontId="1"/>
  </si>
  <si>
    <t>Confirmed from the Sigma-Aldrich database spectrum available on SciFinder.</t>
    <phoneticPr fontId="1"/>
  </si>
  <si>
    <t>E2(endo)</t>
    <phoneticPr fontId="1"/>
  </si>
  <si>
    <t>TCI(N0511)</t>
    <phoneticPr fontId="1"/>
  </si>
  <si>
    <t>497-38-1</t>
    <phoneticPr fontId="1"/>
  </si>
  <si>
    <t>O=C1[C@@H](C2)CCC2C1</t>
    <phoneticPr fontId="1"/>
  </si>
  <si>
    <t>SDBS(No.:13580)</t>
    <phoneticPr fontId="1"/>
  </si>
  <si>
    <t>SDBS(No.:21209)</t>
    <phoneticPr fontId="1"/>
  </si>
  <si>
    <t>E2(exo)</t>
    <phoneticPr fontId="1"/>
  </si>
  <si>
    <t>O=C1[C@H](C2)CCC2C1</t>
    <phoneticPr fontId="1"/>
  </si>
  <si>
    <t>SDBS(No.:21170)</t>
    <phoneticPr fontId="1"/>
  </si>
  <si>
    <t>D5</t>
    <phoneticPr fontId="1"/>
  </si>
  <si>
    <t>TCI(C0466)</t>
    <phoneticPr fontId="1"/>
  </si>
  <si>
    <t>502-42-1</t>
    <phoneticPr fontId="1"/>
  </si>
  <si>
    <t>C1CC[13CH2]C(=O)CC1</t>
    <phoneticPr fontId="1"/>
  </si>
  <si>
    <t>SDBS(No.:3947)</t>
    <phoneticPr fontId="1"/>
  </si>
  <si>
    <t>SDBS No.:6038</t>
  </si>
  <si>
    <t>C7</t>
    <phoneticPr fontId="1"/>
  </si>
  <si>
    <t>TCI(D1397)</t>
    <phoneticPr fontId="1"/>
  </si>
  <si>
    <t>781-35-1</t>
    <phoneticPr fontId="1"/>
  </si>
  <si>
    <t>O=C(C)C(c1ccccc1)c2ccccc2</t>
    <phoneticPr fontId="1"/>
  </si>
  <si>
    <t>SDBS(No.:7414)</t>
    <phoneticPr fontId="1"/>
  </si>
  <si>
    <t>C1</t>
    <phoneticPr fontId="1"/>
  </si>
  <si>
    <t>TCI(A0053)</t>
    <phoneticPr fontId="1"/>
  </si>
  <si>
    <t xml:space="preserve"> 93-08-3</t>
    <phoneticPr fontId="1"/>
  </si>
  <si>
    <t>O=C(C)c1cc2ccccc2cc1</t>
  </si>
  <si>
    <t>SDBS(No.:7051)</t>
    <phoneticPr fontId="1"/>
  </si>
  <si>
    <t>Wang, Shengdong, et al. "Silver‐catalyzed hydrogenation of ketones under mild conditions." Advanced Synthesis &amp; Catalysis 361.4 (2019): 786-790.</t>
  </si>
  <si>
    <t>D3</t>
    <phoneticPr fontId="1"/>
  </si>
  <si>
    <t>TCI(D5988)</t>
    <phoneticPr fontId="1"/>
  </si>
  <si>
    <t>4541-32-6</t>
    <phoneticPr fontId="1"/>
  </si>
  <si>
    <t>O=C1C(C)(C)CCC1</t>
    <phoneticPr fontId="1"/>
  </si>
  <si>
    <t>SpectraBase (Spectrum ID	2pU5lxH9jFu, Source of Sample	NIST,  Gaithersburg, Maryland Wiley Organics)</t>
    <phoneticPr fontId="1"/>
  </si>
  <si>
    <t>Scifinder (Spectrum ID EN300-197925, Source Spectral data were obtained from Enamine Ltd.)</t>
  </si>
  <si>
    <t>D12(trans)</t>
    <phoneticPr fontId="1"/>
  </si>
  <si>
    <t>TCI(T3944)</t>
    <phoneticPr fontId="1"/>
  </si>
  <si>
    <t xml:space="preserve"> 2408-37-9</t>
    <phoneticPr fontId="1"/>
  </si>
  <si>
    <t>O=C1C(C)(C)CCC[C@H]1(C)</t>
    <phoneticPr fontId="1"/>
  </si>
  <si>
    <t>McFadden, Ryan M., and Brian M. Stoltz. "The catalytic enantioselective, protecting group-free total synthesis of (+)-dichroanone." Journal of the American Chemical Society 128.24 (2006): 7738-7739.</t>
    <phoneticPr fontId="1"/>
  </si>
  <si>
    <t>Margot, Christian, et al. "Amber‐Woody Scent: Alcohols with Divergent Structure Present Common Olfactory Characteristics and Sharp Enantiomer Differentiation." Helvetica chimica acta 87.10 (2004): 2662-2684.</t>
  </si>
  <si>
    <t>D12(cis)</t>
    <phoneticPr fontId="1"/>
  </si>
  <si>
    <t>O=C1C(C)(C)CCC[C@@H]1(C)</t>
    <phoneticPr fontId="1"/>
  </si>
  <si>
    <t>Matsumoto, Takashi, et al. "The Stereochemistry of Nucleophilic Addition. IV. The Condensation of 2, 2, 6-Trimethylcyclohexanone with t-Butyl Acetate in the Presence of Lithium Amide." Bulletin of the Chemical Society of Japan 45.4 (1972): 1147-1152.</t>
    <phoneticPr fontId="1"/>
  </si>
  <si>
    <t>C9</t>
    <phoneticPr fontId="1"/>
  </si>
  <si>
    <t>TCI(N0294)</t>
    <phoneticPr fontId="1"/>
  </si>
  <si>
    <t>502-56-7</t>
    <phoneticPr fontId="1"/>
  </si>
  <si>
    <t>CCC[13CH2]C(=O)CCCC</t>
    <phoneticPr fontId="1"/>
  </si>
  <si>
    <t>SDBS(No.:2102)</t>
    <phoneticPr fontId="1"/>
  </si>
  <si>
    <t>SDBS(No.:6587)</t>
    <phoneticPr fontId="1"/>
  </si>
  <si>
    <t>D14</t>
    <phoneticPr fontId="1"/>
  </si>
  <si>
    <t>TCI(T2282)</t>
    <phoneticPr fontId="1"/>
  </si>
  <si>
    <t>14376-79-5</t>
    <phoneticPr fontId="1"/>
  </si>
  <si>
    <t>O=C1[13CH2]C(C)(C)CC(C)(C)C1</t>
    <phoneticPr fontId="1"/>
  </si>
  <si>
    <t>SpectraBase(Spectrum ID tsGQWJgzW6, Source of Sample	Sigma-Aldrich Co. LLC.)</t>
    <phoneticPr fontId="1"/>
  </si>
  <si>
    <t>SDBS(No.:23158)</t>
    <phoneticPr fontId="1"/>
  </si>
  <si>
    <t>A1</t>
    <phoneticPr fontId="1"/>
  </si>
  <si>
    <t>TC(A0061)</t>
    <phoneticPr fontId="1"/>
  </si>
  <si>
    <t>98-86-2</t>
    <phoneticPr fontId="1"/>
  </si>
  <si>
    <t>O=C(c1ccccc1)C</t>
    <phoneticPr fontId="1"/>
  </si>
  <si>
    <t>SDBS(No.:722)</t>
    <phoneticPr fontId="1"/>
  </si>
  <si>
    <t>SDBS(No.:2365)</t>
    <phoneticPr fontId="1"/>
  </si>
  <si>
    <t>A15</t>
    <phoneticPr fontId="1"/>
  </si>
  <si>
    <t>TCI(I0113)</t>
    <phoneticPr fontId="1"/>
  </si>
  <si>
    <t>611-70-1</t>
    <phoneticPr fontId="1"/>
  </si>
  <si>
    <t>O=C(c1ccccc1)C(C)C</t>
    <phoneticPr fontId="1"/>
  </si>
  <si>
    <t>SDBS(No.:10524)</t>
    <phoneticPr fontId="1"/>
  </si>
  <si>
    <t>Zhang, Guoqi, et al. "Redox-noninnocent ligand-supported vanadium catalysts for the chemoselective reduction of C═ X (X= O, N) functionalities." Journal of the American Chemical Society 141.38 (2019): 15230-15239.</t>
  </si>
  <si>
    <t>A7</t>
    <phoneticPr fontId="1"/>
  </si>
  <si>
    <t>TCI(M0191)</t>
    <phoneticPr fontId="1"/>
  </si>
  <si>
    <t>585-74-0</t>
    <phoneticPr fontId="1"/>
  </si>
  <si>
    <t>CC(c1cc(C)ccc1)=O</t>
    <phoneticPr fontId="1"/>
  </si>
  <si>
    <t>SDBS(No.:2334)</t>
    <phoneticPr fontId="1"/>
  </si>
  <si>
    <t>Uthoff, Florian, Hirofumi Sato, and Harald Gröger. "Formal enantioselective hydroamination of non‐activated alkenes: transformation of styrenes into enantiomerically pure 1‐phenylethylamines in chemoenzymatic one‐pot synthesis." ChemCatChem 9.4 (2017): 555-558.</t>
  </si>
  <si>
    <t>A8</t>
    <phoneticPr fontId="1"/>
  </si>
  <si>
    <t>TCI(M0104)</t>
    <phoneticPr fontId="1"/>
  </si>
  <si>
    <t xml:space="preserve"> 586-37-8</t>
    <phoneticPr fontId="1"/>
  </si>
  <si>
    <t>CC(c1cc(OC)ccc1)=O</t>
    <phoneticPr fontId="1"/>
  </si>
  <si>
    <t>SDBS(No.:3368)</t>
    <phoneticPr fontId="1"/>
  </si>
  <si>
    <t>Sánchez-Rodríguez, E. P., et al. "[N, P]-pyrrole-phosphine ligand: An efficient and robust ligand for Ru-catalyzed transfer hydrogenation microwave-assisted reactions." Catalysis Communications 115 (2018): 49-54.</t>
  </si>
  <si>
    <t>B1</t>
    <phoneticPr fontId="1"/>
  </si>
  <si>
    <t>TCI(I0013)</t>
    <phoneticPr fontId="1"/>
  </si>
  <si>
    <t xml:space="preserve"> 83-33-0</t>
    <phoneticPr fontId="1"/>
  </si>
  <si>
    <t>O=C1c2ccccc2CC1</t>
    <phoneticPr fontId="1"/>
  </si>
  <si>
    <t>SDBS(No.:6300)</t>
    <phoneticPr fontId="1"/>
  </si>
  <si>
    <t>SDBS(No.:6338)</t>
    <phoneticPr fontId="1"/>
  </si>
  <si>
    <t>A13</t>
    <phoneticPr fontId="1"/>
  </si>
  <si>
    <t>TCI(	P0519)</t>
    <phoneticPr fontId="1"/>
  </si>
  <si>
    <t>93-55-0</t>
    <phoneticPr fontId="1"/>
  </si>
  <si>
    <t>O=C(CC)c1ccccc1</t>
    <phoneticPr fontId="1"/>
  </si>
  <si>
    <t>SDBS(No.:2839)</t>
    <phoneticPr fontId="1"/>
  </si>
  <si>
    <t>SDBS(No.:2343)</t>
    <phoneticPr fontId="1"/>
  </si>
  <si>
    <t>A19</t>
    <phoneticPr fontId="1"/>
  </si>
  <si>
    <t>TCI(C1035)</t>
    <phoneticPr fontId="1"/>
  </si>
  <si>
    <t>5407-98-7</t>
    <phoneticPr fontId="1"/>
  </si>
  <si>
    <t>O=C(C1CCC1)c2ccccc2</t>
    <phoneticPr fontId="1"/>
  </si>
  <si>
    <t>Gonzalez-de-Castro, Angela, and Jianliang Xiao. "Green and efficient: Iron-catalyzed selective oxidation of olefins to carbonyls with O2." Journal of the American Chemical Society 137.25 (2015): 8206-8218.</t>
  </si>
  <si>
    <t>Rahaim Jr, Ronald J., and Robert E. Maleczka Jr. "C− O Hydrogenolysis catalyzed by Pd-PMHS nanoparticles in the company of chloroarenes." Organic letters 13.4 (2011): 584-587.</t>
  </si>
  <si>
    <t>B3</t>
    <phoneticPr fontId="1"/>
  </si>
  <si>
    <t>TCI(T0134)</t>
    <phoneticPr fontId="1"/>
  </si>
  <si>
    <t>529-34-0</t>
    <phoneticPr fontId="1"/>
  </si>
  <si>
    <t>O=C1c2ccccc2CCC1</t>
    <phoneticPr fontId="1"/>
  </si>
  <si>
    <t>SDBS(No.:6660)</t>
    <phoneticPr fontId="1"/>
  </si>
  <si>
    <t>SpectraBase (Spectrum ID	IWLmrk9haob Source of Sample	Sigma-Aldrich Co. LLC.)</t>
    <phoneticPr fontId="1"/>
  </si>
  <si>
    <t>A22</t>
    <phoneticPr fontId="1"/>
  </si>
  <si>
    <t>TCI(C1345)</t>
    <phoneticPr fontId="1"/>
  </si>
  <si>
    <t>712-50-5</t>
    <phoneticPr fontId="1"/>
  </si>
  <si>
    <t>O=C(C1CCCCC1)c2ccccc2</t>
    <phoneticPr fontId="1"/>
  </si>
  <si>
    <t>SDBS(No.:15253)</t>
    <phoneticPr fontId="1"/>
  </si>
  <si>
    <t>A18</t>
    <phoneticPr fontId="1"/>
  </si>
  <si>
    <t>TCI(V0009)</t>
    <phoneticPr fontId="1"/>
  </si>
  <si>
    <t>1009-14-9</t>
    <phoneticPr fontId="1"/>
  </si>
  <si>
    <t>O=C(CCCC)c1ccccc1</t>
    <phoneticPr fontId="1"/>
  </si>
  <si>
    <t>SDBS(No.:3301)</t>
    <phoneticPr fontId="1"/>
  </si>
  <si>
    <t>SDBS(No.:11342)</t>
    <phoneticPr fontId="1"/>
  </si>
  <si>
    <t>A14</t>
    <phoneticPr fontId="1"/>
  </si>
  <si>
    <t>TCI(B0769)</t>
    <phoneticPr fontId="1"/>
  </si>
  <si>
    <t>495-40-9</t>
  </si>
  <si>
    <t>O=C(c1ccccc1)CCC</t>
    <phoneticPr fontId="1"/>
  </si>
  <si>
    <t>SDBS(No.:826)</t>
    <phoneticPr fontId="1"/>
  </si>
  <si>
    <t>SDBS(No.:51928)</t>
    <phoneticPr fontId="1"/>
  </si>
  <si>
    <t>B4</t>
    <phoneticPr fontId="1"/>
  </si>
  <si>
    <t>TCI(T1347)</t>
    <phoneticPr fontId="1"/>
  </si>
  <si>
    <t>826-73-3</t>
    <phoneticPr fontId="1"/>
  </si>
  <si>
    <t>O=C1c2ccccc2CCCC1</t>
    <phoneticPr fontId="1"/>
  </si>
  <si>
    <t>SDBS(No.:15083)</t>
    <phoneticPr fontId="1"/>
  </si>
  <si>
    <t>Chan, Chieh-Kai, Yi-Hsuan Huang, and Meng-Yang Chang. "Sodium amalgam mediated desulfonylative reduction of α-functionalized β-ketosulfones." Tetrahedron 72.35 (2016): 5521-5529.</t>
    <phoneticPr fontId="1"/>
  </si>
  <si>
    <t>A23</t>
    <phoneticPr fontId="1"/>
  </si>
  <si>
    <t>TCI(B0083)</t>
    <phoneticPr fontId="1"/>
  </si>
  <si>
    <t>119-61-9</t>
    <phoneticPr fontId="1"/>
  </si>
  <si>
    <t>benzophenone</t>
    <phoneticPr fontId="1"/>
  </si>
  <si>
    <t>O=C([13c]1ccccc1)c2ccccc2</t>
    <phoneticPr fontId="1"/>
  </si>
  <si>
    <t>SDBS(No.:1294)</t>
    <phoneticPr fontId="1"/>
  </si>
  <si>
    <t>SDBS(No.:869)</t>
    <phoneticPr fontId="1"/>
  </si>
  <si>
    <t>A2</t>
    <phoneticPr fontId="1"/>
  </si>
  <si>
    <t>TCI(M0135)</t>
    <phoneticPr fontId="1"/>
  </si>
  <si>
    <t>122-00-9</t>
    <phoneticPr fontId="1"/>
  </si>
  <si>
    <t>O=C(C)c1ccc(C)cc1</t>
    <phoneticPr fontId="1"/>
  </si>
  <si>
    <t>SDBS(No.:1498)</t>
    <phoneticPr fontId="1"/>
  </si>
  <si>
    <t>SDBS(No.:6389)</t>
    <phoneticPr fontId="1"/>
  </si>
  <si>
    <t>A21</t>
    <phoneticPr fontId="1"/>
  </si>
  <si>
    <t>TCI(C0987)</t>
    <phoneticPr fontId="1"/>
  </si>
  <si>
    <t xml:space="preserve"> 3481-02-5</t>
    <phoneticPr fontId="1"/>
  </si>
  <si>
    <t>O=C(c1ccccc1)C2CCCC2</t>
    <phoneticPr fontId="1"/>
  </si>
  <si>
    <t>SDBS(No.:7096)</t>
    <phoneticPr fontId="1"/>
  </si>
  <si>
    <t>Scifinder Spectrum ID EN300-73355, Source Spectral data were obtained from Enamine Ltd.)</t>
    <phoneticPr fontId="1"/>
  </si>
  <si>
    <t>D15(trans)</t>
    <phoneticPr fontId="1"/>
  </si>
  <si>
    <t>TCI(M0513)</t>
    <phoneticPr fontId="1"/>
  </si>
  <si>
    <t>14073-97-3</t>
    <phoneticPr fontId="1"/>
  </si>
  <si>
    <t>O=C1[C@@H](C(C)C)CC[C@H](C)C1</t>
    <phoneticPr fontId="1"/>
  </si>
  <si>
    <t>SDBS(No.No.:6805)</t>
    <phoneticPr fontId="1"/>
  </si>
  <si>
    <t>SDBS(No.:19899)</t>
    <phoneticPr fontId="1"/>
  </si>
  <si>
    <t>D15(cis)</t>
    <phoneticPr fontId="1"/>
  </si>
  <si>
    <t>O=C1[C@H](C(C)C)CC[C@@H](C)C1</t>
    <phoneticPr fontId="1"/>
  </si>
  <si>
    <t>Itoh, H., et al. "Highly selective aluminium-catalysed intramolecular Prins reaction for l-menthol synthesis." Rsc Advances 4.106 (2014): 61619-61623.</t>
  </si>
  <si>
    <t>A16</t>
    <phoneticPr fontId="1"/>
  </si>
  <si>
    <t>3481-02-5</t>
    <phoneticPr fontId="1"/>
  </si>
  <si>
    <t>O=C(c1ccccc1)C2CC2</t>
    <phoneticPr fontId="1"/>
  </si>
  <si>
    <t>SDBS(No.:18005)</t>
    <phoneticPr fontId="1"/>
  </si>
  <si>
    <r>
      <t>Zhang, Guoqi, et al. "Redox-noninnocent ligand-supported vanadium catalysts for the chemoselective reduction of C</t>
    </r>
    <r>
      <rPr>
        <sz val="10"/>
        <color theme="1"/>
        <rFont val="Microsoft JhengHei"/>
        <family val="2"/>
      </rPr>
      <t>═</t>
    </r>
    <r>
      <rPr>
        <sz val="10"/>
        <color theme="1"/>
        <rFont val="Arial"/>
        <family val="2"/>
      </rPr>
      <t xml:space="preserve"> X (X= O, N) functionalities." Journal of the American Chemical Society 141.38 (2019): 15230-15239.</t>
    </r>
    <phoneticPr fontId="1"/>
  </si>
  <si>
    <t>D6</t>
    <phoneticPr fontId="1"/>
  </si>
  <si>
    <t>TCI(C0504)</t>
    <phoneticPr fontId="1"/>
  </si>
  <si>
    <t>502-49-8</t>
    <phoneticPr fontId="1"/>
  </si>
  <si>
    <t>C1CC[13CH2]C(=O)CCC1</t>
    <phoneticPr fontId="1"/>
  </si>
  <si>
    <t>SDBS(No.:4641)</t>
    <phoneticPr fontId="1"/>
  </si>
  <si>
    <t>SDBS(No.:3470)</t>
    <phoneticPr fontId="1"/>
  </si>
  <si>
    <t>D2(trans)</t>
    <phoneticPr fontId="1"/>
  </si>
  <si>
    <t>TCI(C0931)</t>
    <phoneticPr fontId="1"/>
  </si>
  <si>
    <t>4884-24-6</t>
    <phoneticPr fontId="1"/>
  </si>
  <si>
    <t>O=C1[C@@H](C2CCCC2)CCC1</t>
    <phoneticPr fontId="1"/>
  </si>
  <si>
    <t>SDBS(No.:6791)</t>
    <phoneticPr fontId="1"/>
  </si>
  <si>
    <r>
      <t>Sehgal, R. K., R. U. Koenigsberger, and T. J. Howard. "Hydroxyl proton magnetic resonance study of cyclic alcohols in dimethyl sulfoxide." </t>
    </r>
    <r>
      <rPr>
        <i/>
        <sz val="11"/>
        <color rgb="FF1D1C1D"/>
        <rFont val="Arial"/>
        <family val="2"/>
      </rPr>
      <t>Tetrahedron Letters</t>
    </r>
    <r>
      <rPr>
        <sz val="11"/>
        <color rgb="FF1D1C1D"/>
        <rFont val="Arial"/>
        <family val="2"/>
      </rPr>
      <t> 15.47 (1974): 4173-4176.</t>
    </r>
  </si>
  <si>
    <t>D2(cis)</t>
    <phoneticPr fontId="1"/>
  </si>
  <si>
    <t>O=C1[C@H](C2CCCC2)CCC1</t>
    <phoneticPr fontId="1"/>
  </si>
  <si>
    <t>SDBS(No.:6791)</t>
  </si>
  <si>
    <t>D7</t>
    <phoneticPr fontId="1"/>
  </si>
  <si>
    <t>TCI(C0462)</t>
    <phoneticPr fontId="1"/>
  </si>
  <si>
    <t>830-13-7</t>
    <phoneticPr fontId="1"/>
  </si>
  <si>
    <t>O=C1[13CH2]CCCCCCCCCC1</t>
    <phoneticPr fontId="1"/>
  </si>
  <si>
    <t>SDBS(No.:2130)</t>
    <phoneticPr fontId="1"/>
  </si>
  <si>
    <t>SDBS(No.:5820)</t>
    <phoneticPr fontId="1"/>
  </si>
  <si>
    <t>A3</t>
    <phoneticPr fontId="1"/>
  </si>
  <si>
    <t>TCI(M0105)</t>
    <phoneticPr fontId="1"/>
  </si>
  <si>
    <t>100-06-1</t>
    <phoneticPr fontId="1"/>
  </si>
  <si>
    <t>O=C(C)c1ccc(OC)cc1</t>
    <phoneticPr fontId="1"/>
  </si>
  <si>
    <t>SDBS(No.:1164)</t>
    <phoneticPr fontId="1"/>
  </si>
  <si>
    <t>Dieskau, André P., Jeanne‐Marie Begouin, and Bernd Plietker. "Bu4N [Fe (CO) 3 (NO)]‐Catalyzed Hydrosilylation of Aldehydes and Ketones." (2011): 5291-5296.</t>
  </si>
  <si>
    <t>A20</t>
    <phoneticPr fontId="1"/>
  </si>
  <si>
    <t>TCI(I0296)</t>
    <phoneticPr fontId="1"/>
  </si>
  <si>
    <t>582-62-7</t>
    <phoneticPr fontId="1"/>
  </si>
  <si>
    <t>O=C(c1ccccc1)CC(C)C</t>
    <phoneticPr fontId="1"/>
  </si>
  <si>
    <t>SDBS(No.:6922)</t>
    <phoneticPr fontId="1"/>
  </si>
  <si>
    <r>
      <t>He, Ping, Yong Lu, and Qiao-Sheng Hu. "Phosphinite-and phosphite-based type I palladacycles as highly active catalysts for addition reactions of arylboronic acids with aldehydes, α, β-unsaturated ketones, α-ketoesters, and aldimines." </t>
    </r>
    <r>
      <rPr>
        <i/>
        <sz val="11"/>
        <color rgb="FF1D1C1D"/>
        <rFont val="Arial"/>
        <family val="2"/>
      </rPr>
      <t>Tetrahedron letters</t>
    </r>
    <r>
      <rPr>
        <sz val="11"/>
        <color rgb="FF1D1C1D"/>
        <rFont val="Arial"/>
        <family val="2"/>
      </rPr>
      <t> 48.30 (2007): 5283-5288.</t>
    </r>
  </si>
  <si>
    <t>C11</t>
    <phoneticPr fontId="1"/>
  </si>
  <si>
    <t>TCI(D2258)</t>
    <phoneticPr fontId="1"/>
  </si>
  <si>
    <t>119-60-8</t>
    <phoneticPr fontId="1"/>
  </si>
  <si>
    <t>O=C([13CH1]1CCCCC1)C2CCCCC2</t>
    <phoneticPr fontId="1"/>
  </si>
  <si>
    <t>SDBS(No.:19347)</t>
    <phoneticPr fontId="1"/>
  </si>
  <si>
    <t>Tamang, Sem Raj, and Michael Findlater. "Iron catalyzed hydroboration of aldehydes and ketones." The Journal of Organic Chemistry 82.23 (2017): 12857-12862.</t>
  </si>
  <si>
    <t>B9</t>
    <phoneticPr fontId="1"/>
  </si>
  <si>
    <t>TCI(D1801)</t>
    <phoneticPr fontId="1"/>
  </si>
  <si>
    <t>1210-35-1</t>
    <phoneticPr fontId="1"/>
  </si>
  <si>
    <t>O=C1[13c]2ccccc2CCc3ccccc13</t>
    <phoneticPr fontId="1"/>
  </si>
  <si>
    <t>SDBS(No.:12963)</t>
    <phoneticPr fontId="1"/>
  </si>
  <si>
    <t>Trose, Michael, et al. "Neutral dinuclear copper (I)-NHC complexes: synthesis and application in the hydrosilylation of ketones." ACS Catalysis 7.1 (2017): 238-242.</t>
  </si>
  <si>
    <t>C10</t>
    <phoneticPr fontId="1"/>
  </si>
  <si>
    <t>TCI(D0733)</t>
    <phoneticPr fontId="1"/>
  </si>
  <si>
    <t>108-83-8</t>
    <phoneticPr fontId="1"/>
  </si>
  <si>
    <t>CC(C)[13CH2]C(=O)CC(C)C</t>
    <phoneticPr fontId="1"/>
  </si>
  <si>
    <t>SDBS(No.:818)</t>
    <phoneticPr fontId="1"/>
  </si>
  <si>
    <t>B8</t>
    <phoneticPr fontId="1"/>
  </si>
  <si>
    <t>TCI(D5841)</t>
    <phoneticPr fontId="1"/>
  </si>
  <si>
    <t>5447-86-9</t>
    <phoneticPr fontId="1"/>
  </si>
  <si>
    <t>O=C1[13c]2ccccc2C(C)(C)c3ccccc13</t>
    <phoneticPr fontId="1"/>
  </si>
  <si>
    <t>Wurche, Frank, et al. "The effect of pressure on hydrogen transfer reactions with quinones." Chemistry–A European Journal 10.11 (2004): 2707-2721.</t>
    <phoneticPr fontId="1"/>
  </si>
  <si>
    <t>Bhattacharya, Ajit K., and Bernard Miller. "Rearrangement and fragmentation reactions of blocked aromatic alcohols." Journal of the American Chemical Society 105.10 (1983): 3242-3247.</t>
  </si>
  <si>
    <t>E1(exo)</t>
    <phoneticPr fontId="1"/>
  </si>
  <si>
    <t>TCI(C0010)</t>
    <phoneticPr fontId="1"/>
  </si>
  <si>
    <t>464-49-3</t>
    <phoneticPr fontId="1"/>
  </si>
  <si>
    <t>O=C1[C@](C)(C2(C)(C))CCC2C1</t>
    <phoneticPr fontId="1"/>
  </si>
  <si>
    <t>SDBS(No.:4329)</t>
    <phoneticPr fontId="1"/>
  </si>
  <si>
    <t>SDBS(No.:6804)</t>
    <phoneticPr fontId="1"/>
  </si>
  <si>
    <t>E1(endo)</t>
    <phoneticPr fontId="1"/>
  </si>
  <si>
    <t>O=C1[C@@](C)(C2(C)(C))CCC2C1</t>
    <phoneticPr fontId="1"/>
  </si>
  <si>
    <t>SDBS(No.:6801)</t>
    <phoneticPr fontId="1"/>
  </si>
  <si>
    <t>E3(endo)</t>
    <phoneticPr fontId="1"/>
  </si>
  <si>
    <t>TCI(F0164)</t>
    <phoneticPr fontId="1"/>
  </si>
  <si>
    <t xml:space="preserve">7787-20-4 </t>
    <phoneticPr fontId="1"/>
  </si>
  <si>
    <t>O=C1[C@@](C)(C2)CCC2C1(C)(C)</t>
    <phoneticPr fontId="1"/>
  </si>
  <si>
    <t>SDBS(No.:6792)</t>
    <phoneticPr fontId="1"/>
  </si>
  <si>
    <t>E3(exo)</t>
    <phoneticPr fontId="1"/>
  </si>
  <si>
    <t>O=C1[C@](C)(C2)CCC2C1(C)(C)</t>
    <phoneticPr fontId="1"/>
  </si>
  <si>
    <t>Janusz, J. M., et al. "High potency dipeptide sweeteners. 1. L-aspartyl-D-phenylglycine esters." Journal of medicinal chemistry 33.3 (1990): 1052-1061.</t>
  </si>
  <si>
    <t>A24</t>
    <phoneticPr fontId="1"/>
  </si>
  <si>
    <t>TCI(T1207)</t>
    <phoneticPr fontId="1"/>
  </si>
  <si>
    <t>466-37-5</t>
    <phoneticPr fontId="1"/>
  </si>
  <si>
    <t>Confirmed from the Predicted NMR data calculated using Advanced Chemistry Development, Inc. (ACD/Labs) Software (© 1994-2025 ACD/Labs) on SciFinder.</t>
    <phoneticPr fontId="1"/>
  </si>
  <si>
    <t>TCI(B0098)</t>
    <phoneticPr fontId="1"/>
  </si>
  <si>
    <t>614-16-4</t>
    <phoneticPr fontId="1"/>
  </si>
  <si>
    <t>Benzoylacetonitrile</t>
    <phoneticPr fontId="1"/>
  </si>
  <si>
    <t>SDBS(No.:6287)</t>
    <phoneticPr fontId="1"/>
  </si>
  <si>
    <t>CAS</t>
    <phoneticPr fontId="1"/>
  </si>
  <si>
    <t>TCI(B6638)</t>
    <phoneticPr fontId="1"/>
  </si>
  <si>
    <t>694-98-4</t>
    <phoneticPr fontId="1"/>
  </si>
  <si>
    <t>Dongshun Ni, Brittany P. Witherspoon,et al. "Stereoselective [4+2]-Cycloaddition with Chiral Alkenylboranes" Angew. Chem. Int. Ed 59,28 (2020):11432</t>
  </si>
  <si>
    <t>TCI(T0626)</t>
    <phoneticPr fontId="1"/>
  </si>
  <si>
    <t>532-24-1</t>
    <phoneticPr fontId="1"/>
  </si>
  <si>
    <t>SDBS(No.:10494)</t>
    <phoneticPr fontId="1"/>
  </si>
  <si>
    <t>Scifinder(Spectrum ID EN300-6474754, Spectral data were obtained from Enamine Ltd.)</t>
  </si>
  <si>
    <t>Predicted NMR data calculated using Advanced Chemistry Development, Inc. (ACD/Labs) Software (© 1994-2026 ACD/Labs)</t>
  </si>
  <si>
    <t>TCI(C1292)</t>
    <phoneticPr fontId="1"/>
  </si>
  <si>
    <t>Scifinder(Spectrum ID EN300-26857, Spectral data were obtained from Enamine Ltd.)</t>
  </si>
  <si>
    <t>Scifinder(Spectrum ID EN300-39891, Spectral data were obtained from Enamine Ltd.)</t>
  </si>
  <si>
    <t>TCI(I0805)</t>
    <phoneticPr fontId="1"/>
  </si>
  <si>
    <t>10276-21-8</t>
    <phoneticPr fontId="1"/>
  </si>
  <si>
    <t>SDBS(No.:52935)</t>
    <phoneticPr fontId="1"/>
  </si>
  <si>
    <t>Matthew A. Cooper, A.David Ward."Formation of dihydroxyselenides from allylic alcohols and their conversion to β-hydroxy epoxides via substitution of a phenylselenonyl group"Tetrahedron   60.36 (2004): 7963-7922.</t>
  </si>
  <si>
    <t>a1</t>
    <phoneticPr fontId="1"/>
  </si>
  <si>
    <t>TCI(P2423)</t>
    <phoneticPr fontId="1"/>
  </si>
  <si>
    <t>566-65-4</t>
    <phoneticPr fontId="1"/>
  </si>
  <si>
    <t>5α-Pregnane-3,20-dione (Reduction of diketone to axial-3ol)</t>
    <phoneticPr fontId="1"/>
  </si>
  <si>
    <t>O=[13C]1C[C@H]2CC[C@@H]3[C@H]4CC[C@@H](C(=O)C)[C@]4(C)CC[C@H]3[C@]2(C)CC1</t>
    <phoneticPr fontId="1"/>
  </si>
  <si>
    <r>
      <t>Wong, Fung Fuh, et al. "Synthesis of 3α-hydroxy-21-(1′-imidazolyl)-3β-methoxyl-methyl-5α-pregnan-20-one via lithium imidazole with 17α-acetylbromopregnanone." </t>
    </r>
    <r>
      <rPr>
        <i/>
        <sz val="10"/>
        <color rgb="FF222222"/>
        <rFont val="Arial"/>
        <family val="2"/>
      </rPr>
      <t>Steroids</t>
    </r>
    <r>
      <rPr>
        <sz val="10"/>
        <color rgb="FF222222"/>
        <rFont val="Arial"/>
        <family val="2"/>
      </rPr>
      <t> 71.1 (2006): 77-82.</t>
    </r>
  </si>
  <si>
    <t>a2</t>
    <phoneticPr fontId="1"/>
  </si>
  <si>
    <t>5α-Pregnane-3,20-dione (Reduction of diketone to equatorial-3ol)</t>
    <phoneticPr fontId="1"/>
  </si>
  <si>
    <t>O=[13C]1C[C@@H]2CC[C@H]3[C@@H]4CC[C@H](C(=O)C)[C@@]4(C)CC[C@@H]3[C@@]2(C)CC1</t>
    <phoneticPr fontId="1"/>
  </si>
  <si>
    <r>
      <t>Wong, Fung Fuh, et al. "Synthesis of 3α-hydroxy-21-(1′-imidazolyl)-3β-methoxyl-methyl-5α-pregnan-20-one via lithium imidazole with 17α-acetylbromopregnanone." </t>
    </r>
    <r>
      <rPr>
        <i/>
        <sz val="10"/>
        <color rgb="FF222222"/>
        <rFont val="Arial"/>
        <family val="2"/>
      </rPr>
      <t>Steroids</t>
    </r>
    <r>
      <rPr>
        <sz val="10"/>
        <color rgb="FF222222"/>
        <rFont val="Arial"/>
        <family val="2"/>
      </rPr>
      <t> 71.1 (2006): 77-82.</t>
    </r>
    <phoneticPr fontId="1"/>
  </si>
  <si>
    <t>88% (isolated yield. 87%dr.)</t>
    <phoneticPr fontId="1"/>
  </si>
  <si>
    <t>a3</t>
    <phoneticPr fontId="1"/>
  </si>
  <si>
    <t>5α-Pregnane-3,20-dione (Reduction of diketone to cis-20ol)</t>
    <phoneticPr fontId="1"/>
  </si>
  <si>
    <t>C[13C](=O)[C@@H]1CC[C@@H]2[C@H]3CC[C@@H]4CC(=O)CC[C@@]4(C)[C@@H]3CC[C@@]12(C)</t>
    <phoneticPr fontId="1"/>
  </si>
  <si>
    <r>
      <t>Monsalve, Leandro N., et al. "An efficient enzymatic preparation of 20-pregnane succinates: chemoenzymatic synthesis of 20β-hemisuccinyloxy-5αH-pregnan-3-one." </t>
    </r>
    <r>
      <rPr>
        <i/>
        <sz val="10"/>
        <color rgb="FF222222"/>
        <rFont val="Arial"/>
        <family val="2"/>
      </rPr>
      <t>Tetrahedron</t>
    </r>
    <r>
      <rPr>
        <sz val="10"/>
        <color rgb="FF222222"/>
        <rFont val="Arial"/>
        <family val="2"/>
      </rPr>
      <t> 64.8 (2008): 1721-1730.</t>
    </r>
    <phoneticPr fontId="1"/>
  </si>
  <si>
    <t>a4</t>
    <phoneticPr fontId="1"/>
  </si>
  <si>
    <t>5α-Pregnane-3,20-dione (Reduction of diketone to trans-20ol)</t>
    <phoneticPr fontId="1"/>
  </si>
  <si>
    <t>C[13C](=O)[C@H]1CC[C@H]2[C@@H]3CC[C@H]4CC(=O)CC[C@]4(C)[C@H]3CC[C@]12(C)</t>
    <phoneticPr fontId="1"/>
  </si>
  <si>
    <t>a13</t>
    <phoneticPr fontId="1"/>
  </si>
  <si>
    <t>5α-Pregnane-3,20-dione (Reduction of axial-3 to cis-20ol)</t>
    <phoneticPr fontId="1"/>
  </si>
  <si>
    <t>C[13C](=O)[C@@H]1CC[C@@H]2[C@H]3CC[C@@H]4C[C@@H](O)CC[C@@]4(C)[C@@H]3CC[C@@]12(C)</t>
    <phoneticPr fontId="1"/>
  </si>
  <si>
    <t>a14</t>
    <phoneticPr fontId="1"/>
  </si>
  <si>
    <t>5α-Pregnane-3,20-dione (Reduction of axial-3ol to trans-20ol)</t>
    <phoneticPr fontId="1"/>
  </si>
  <si>
    <t>C[13C](=O)[C@H]1CC[C@H]2[C@@H]3CC[C@H]4C[C@H](O)CC[C@]4(C)[C@H]3CC[C@]12(C)</t>
    <phoneticPr fontId="1"/>
  </si>
  <si>
    <t>a23</t>
    <phoneticPr fontId="1"/>
  </si>
  <si>
    <t>5α-Pregnane-3,20-dione (Reduction of equatorial-3ol to cis-20ol)</t>
    <phoneticPr fontId="1"/>
  </si>
  <si>
    <t>C[13C](=O)[C@@H]1CC[C@@H]2[C@H]3CC[C@@H]4C[C@H](O)CC[C@@]4(C)[C@@H]3CC[C@@]12(C)</t>
    <phoneticPr fontId="1"/>
  </si>
  <si>
    <t>a24</t>
    <phoneticPr fontId="1"/>
  </si>
  <si>
    <t>5α-Pregnane-3,20-dione (Reduction of equatorial-3ol to trans-20ol)</t>
    <phoneticPr fontId="1"/>
  </si>
  <si>
    <t>C[13C](=O)[C@H]1CC[C@H]2[C@@H]3CC[C@H]4C[C@@H](O)CC[C@]4(C)[C@H]3CC[C@]12(C)</t>
    <phoneticPr fontId="1"/>
  </si>
  <si>
    <t>a41</t>
    <phoneticPr fontId="1"/>
  </si>
  <si>
    <t>5α-Pregnane-3,20-dione (Reduction of trans-20ol to axial-3ol)</t>
    <phoneticPr fontId="1"/>
  </si>
  <si>
    <t>O=[13C]1C[C@H]2CC[C@@H]3[C@H]4CC[C@@H]([C@@H](O)C)[C@]4(C)CC[C@H]3[C@]2(C)CC1</t>
    <phoneticPr fontId="1"/>
  </si>
  <si>
    <t>a42</t>
    <phoneticPr fontId="1"/>
  </si>
  <si>
    <t>5α-Pregnane-3,20-dione (Reduction of trans-20ol to equatorial-3ol)</t>
    <phoneticPr fontId="1"/>
  </si>
  <si>
    <t>O=[13C]1C[C@@H]2CC[C@H]3[C@@H]4CC[C@H]([C@H](O)C)[C@@]4(C)CC[C@@H]3[C@@]2(C)CC1</t>
    <phoneticPr fontId="1"/>
  </si>
  <si>
    <t>a31</t>
    <phoneticPr fontId="1"/>
  </si>
  <si>
    <t>5α-Pregnane-3,20-dione (Reduction of cis-20ol to axial-3ol)</t>
    <phoneticPr fontId="1"/>
  </si>
  <si>
    <t>O=[13C]1C[C@H]2CC[C@@H]3[C@H]4CC[C@@H]([C@H](O)C)[C@]4(C)CC[C@H]3[C@]2(C)CC1</t>
    <phoneticPr fontId="1"/>
  </si>
  <si>
    <t>a32</t>
    <phoneticPr fontId="1"/>
  </si>
  <si>
    <t>5α-Pregnane-3,20-dione (Reduction of cis-20ol to equatorial-3ol)</t>
    <phoneticPr fontId="1"/>
  </si>
  <si>
    <t>O=[13C]1C[C@@H]2CC[C@H]3[C@@H]4CC[C@H]([C@@H](O)C)[C@@]4(C)CC[C@@H]3[C@@]2(C)CC1</t>
    <phoneticPr fontId="1"/>
  </si>
  <si>
    <t>b1</t>
  </si>
  <si>
    <t>24-nor-5β-chol-22-ene-3,6-dione (diketone to trans-3ol)</t>
    <phoneticPr fontId="1"/>
  </si>
  <si>
    <t>O=[13C]1C[C@@H]2C(=O)C[C@@H]3[C@H]4CC[C@@H]([C@@H](C)C=C)[C@]4(C)CC[C@H]3[C@]2(C)CC1</t>
    <phoneticPr fontId="1"/>
  </si>
  <si>
    <t>Ferrer, Karoll, et al. "Synthesis of New Brassinosteroid 24-Norcholane Type Analogs Conjugated in C-3 with Benzoate Groups." Molecules 26.4 (2021): 1173.</t>
    <phoneticPr fontId="1"/>
  </si>
  <si>
    <t>76.3% (MeOH/THF=1:1, 0–5 °C, 1 h, 76.3% isolated yield. Selective reduction. 23.4% of unreacted compound.)</t>
    <phoneticPr fontId="1"/>
  </si>
  <si>
    <t>b2</t>
  </si>
  <si>
    <t>24-nor-5β-chol-22-ene-3,6-dione (diketone to cis-3ol)</t>
    <phoneticPr fontId="1"/>
  </si>
  <si>
    <t>O=[13C]1C[C@H]2C(=O)C[C@H]3[C@@H]4CC[C@H]([C@H](C)C=C)[C@@]4(C)CC[C@@H]3[C@@]2(C)CC1</t>
    <phoneticPr fontId="1"/>
  </si>
  <si>
    <t>b3</t>
  </si>
  <si>
    <t>24-nor-5β-chol-22-ene-3,6-dione (diketone to trans-6ol)</t>
    <phoneticPr fontId="1"/>
  </si>
  <si>
    <t>O=[13C]1C[C@@H]3[C@H]4CC[C@@H]([C@@H](C)C=C)[C@]4(C)CC[C@H]3[C@]2(C)CCC(=O)C[C@H]12</t>
    <phoneticPr fontId="1"/>
  </si>
  <si>
    <t>b4</t>
  </si>
  <si>
    <t>24-nor-5β-chol-22-ene-3,6-dione (diketone to cis-6ol)</t>
    <phoneticPr fontId="1"/>
  </si>
  <si>
    <t>O=[13C]1C[C@H]3[C@@H]4CC[C@H]([C@H](C)C=C)[C@@]4(C)CC[C@@H]3[C@@]2(C)CCC(=O)C[C@@H]12</t>
    <phoneticPr fontId="1"/>
  </si>
  <si>
    <t>b13</t>
  </si>
  <si>
    <t>24-nor-5β-chol-22-ene-3,6-dione (trans-3ol to trans-6ol)</t>
    <phoneticPr fontId="1"/>
  </si>
  <si>
    <t>O=[13C]1C[C@@H]3[C@H]4CC[C@@H]([C@@H](C)C=C)[C@]4(C)CC[C@H]3[C@]2(C)CC[C@H](O)C[C@H]12</t>
    <phoneticPr fontId="1"/>
  </si>
  <si>
    <t>b14</t>
  </si>
  <si>
    <t>24-nor-5β-chol-22-ene-3,6-dione (trans-3ol to cis-6ol)</t>
    <phoneticPr fontId="1"/>
  </si>
  <si>
    <t>O=[13C]1C[C@H]3[C@@H]4CC[C@H]([C@H](C)C=C)[C@@]4(C)CC[C@@H]3[C@@]2(C)CC[C@@H](O)C[C@@H]12</t>
    <phoneticPr fontId="1"/>
  </si>
  <si>
    <t>b23</t>
  </si>
  <si>
    <t>24-nor-5β-chol-22-ene-3,6-dione (cis-3ol to trans-6ol)</t>
    <phoneticPr fontId="1"/>
  </si>
  <si>
    <t>O=[13C]1C[C@@H]3[C@H]4CC[C@@H]([C@@H](C)C=C)[C@]4(C)CC[C@H]3[C@]2(C)CC[C@@H](O)C[C@H]12</t>
    <phoneticPr fontId="1"/>
  </si>
  <si>
    <t>b24</t>
  </si>
  <si>
    <t>24-nor-5β-chol-22-ene-3,6-dione (cis-3ol to cis-6ol)</t>
    <phoneticPr fontId="1"/>
  </si>
  <si>
    <t>O=[13C]1C[C@H]3[C@@H]4CC[C@H]([C@H](C)C=C)[C@@]4(C)CC[C@@H]3[C@@]2(C)CC[C@H](O)C[C@@H]12</t>
    <phoneticPr fontId="1"/>
  </si>
  <si>
    <t>b31</t>
  </si>
  <si>
    <t>24-nor-5β-chol-22-ene-3,6-dione (trans-6ol to trans-3ol)</t>
    <phoneticPr fontId="1"/>
  </si>
  <si>
    <t>O=[13C]1C[C@@H]2[C@H](O)C[C@@H]3[C@H]4CC[C@@H]([C@@H](C)C=C)[C@]4(C)CC[C@H]3[C@]2(C)CC1</t>
    <phoneticPr fontId="1"/>
  </si>
  <si>
    <t>b32</t>
  </si>
  <si>
    <t>24-nor-5β-chol-22-ene-3,6-dione (trans-6ol to cis-3ol)</t>
    <phoneticPr fontId="1"/>
  </si>
  <si>
    <t>O=[13C]1C[C@H]2[C@@H](O)C[C@H]3[C@@H]4CC[C@H]([C@H](C)C=C)[C@@]4(C)CC[C@@H]3[C@@]2(C)CC1</t>
    <phoneticPr fontId="1"/>
  </si>
  <si>
    <t>b41</t>
  </si>
  <si>
    <t>24-nor-5β-chol-22-ene-3,6-dione (cis-6ol to trans-3ol)</t>
    <phoneticPr fontId="1"/>
  </si>
  <si>
    <t>O=[13C]1C[C@@H]2[C@@H](O)C[C@@H]3[C@H]4CC[C@@H]([C@@H](C)C=C)[C@]4(C)CC[C@H]3[C@]2(C)CC1</t>
    <phoneticPr fontId="1"/>
  </si>
  <si>
    <t>b42</t>
  </si>
  <si>
    <t>24-nor-5β-chol-22-ene-3,6-dione (cis-6ol to cis-3ol)</t>
    <phoneticPr fontId="1"/>
  </si>
  <si>
    <t>O=[13C]1C[C@H]2[C@H](O)C[C@H]3[C@@H]4CC[C@H]([C@H](C)C=C)[C@@]4(C)CC[C@@H]3[C@@]2(C)CC1</t>
    <phoneticPr fontId="1"/>
  </si>
  <si>
    <t>c1</t>
    <phoneticPr fontId="1"/>
  </si>
  <si>
    <t>4-benzoyl-3-phenyl-3,4-dihydronaphthalen-1(2H)-one  (diketone to trans-1ol)</t>
    <phoneticPr fontId="1"/>
  </si>
  <si>
    <t>O=[13C]1C[C@@H](c2ccccc2)[C@@H](C(=O)(c3ccccc3))c4ccccc14</t>
    <phoneticPr fontId="1"/>
  </si>
  <si>
    <r>
      <t>Qiu, Shaotong, et al. "Synergistic Cu (II)/Amine-Catalyzed Cyclization of Enynone: Assembly of Tetralone and Tetrahydronaphthylimine." </t>
    </r>
    <r>
      <rPr>
        <i/>
        <sz val="10"/>
        <color rgb="FF222222"/>
        <rFont val="Arial"/>
        <family val="2"/>
      </rPr>
      <t>Organic Letters</t>
    </r>
    <r>
      <rPr>
        <sz val="10"/>
        <color rgb="FF222222"/>
        <rFont val="Arial"/>
        <family val="2"/>
      </rPr>
      <t> 27.4 (2025): 995-999.</t>
    </r>
  </si>
  <si>
    <t>c2</t>
    <phoneticPr fontId="1"/>
  </si>
  <si>
    <t>4-benzoyl-3-phenyl-3,4-dihydronaphthalen-1(2H)-one  (diketone to cis-1ol)</t>
    <phoneticPr fontId="1"/>
  </si>
  <si>
    <t>O=[13C]1C[C@H](c2ccccc2)[C@H](C(=O)(c3ccccc3))c4ccccc14</t>
    <phoneticPr fontId="1"/>
  </si>
  <si>
    <r>
      <t>Qiu, Shaotong, et al. "Synergistic Cu (II)/Amine-Catalyzed Cyclization of Enynone: Assembly of Tetralone and Tetrahydronaphthylimine." </t>
    </r>
    <r>
      <rPr>
        <i/>
        <sz val="10"/>
        <color rgb="FF222222"/>
        <rFont val="Arial"/>
        <family val="2"/>
      </rPr>
      <t>Organic Letters</t>
    </r>
    <r>
      <rPr>
        <sz val="10"/>
        <color rgb="FF222222"/>
        <rFont val="Arial"/>
        <family val="2"/>
      </rPr>
      <t> 27.4 (2025): 995-999.</t>
    </r>
    <phoneticPr fontId="1"/>
  </si>
  <si>
    <t>88% (isolated yield. &gt;99%dr. MeOH:THF = 4:1, rt.)</t>
    <phoneticPr fontId="1"/>
  </si>
  <si>
    <t>c3</t>
    <phoneticPr fontId="1"/>
  </si>
  <si>
    <t>4-benzoyl-3-phenyl-3,4-dihydronaphthalen-1(2H)-one  (diketone to trans-methanol)</t>
    <phoneticPr fontId="1"/>
  </si>
  <si>
    <t>O=[13C](c1ccccc1)[C@@H]2[C@H](c3ccccc3)CC(=O)c4ccccc24</t>
    <phoneticPr fontId="1"/>
  </si>
  <si>
    <t>c4</t>
    <phoneticPr fontId="1"/>
  </si>
  <si>
    <t>4-benzoyl-3-phenyl-3,4-dihydronaphthalen-1(2H)-one  (diketone to cis-methanol)</t>
    <phoneticPr fontId="1"/>
  </si>
  <si>
    <t>O=[13C](c1ccccc1)[C@H]2[C@@H](c3ccccc3)CC(=O)c4ccccc24</t>
    <phoneticPr fontId="1"/>
  </si>
  <si>
    <t>c13</t>
    <phoneticPr fontId="1"/>
  </si>
  <si>
    <t>4-benzoyl-3-phenyl-3,4-dihydronaphthalen-1(2H)-one (trans-1ol to trans-methanol)</t>
    <phoneticPr fontId="1"/>
  </si>
  <si>
    <t>O=[13C](c1ccccc1)[C@@H]2[C@H](c3ccccc3)C[C@@H](O)c4ccccc24</t>
    <phoneticPr fontId="1"/>
  </si>
  <si>
    <t>c14</t>
    <phoneticPr fontId="1"/>
  </si>
  <si>
    <t>4-benzoyl-3-phenyl-3,4-dihydronaphthalen-1(2H)-one (trans-1ol to cis-methanol)</t>
    <phoneticPr fontId="1"/>
  </si>
  <si>
    <t>O=[13C](c1ccccc1)[C@H]2[C@@H](c3ccccc3)C[C@H](O)c4ccccc24</t>
    <phoneticPr fontId="1"/>
  </si>
  <si>
    <t>c23</t>
    <phoneticPr fontId="1"/>
  </si>
  <si>
    <t>4-benzoyl-3-phenyl-3,4-dihydronaphthalen-1(2H)-one (cis-1ol to trans-methanol)</t>
    <phoneticPr fontId="1"/>
  </si>
  <si>
    <t>O=[13C](c1ccccc1)[C@@H]2[C@H](c3ccccc3)C[C@H](O)c4ccccc24</t>
    <phoneticPr fontId="1"/>
  </si>
  <si>
    <t>c24</t>
    <phoneticPr fontId="1"/>
  </si>
  <si>
    <t>4-benzoyl-3-phenyl-3,4-dihydronaphthalen-1(2H)-one (cis-1ol to cis-methanol)</t>
    <phoneticPr fontId="1"/>
  </si>
  <si>
    <t>O=[13C](c1ccccc1)[C@H]2[C@@H](c3ccccc3)C[C@@H](O)c4ccccc24</t>
    <phoneticPr fontId="1"/>
  </si>
  <si>
    <t>c31</t>
    <phoneticPr fontId="1"/>
  </si>
  <si>
    <t>4-benzoyl-3-phenyl-3,4-dihydronaphthalen-1(2H)-one (trans-methanol to trans-1ol)</t>
    <phoneticPr fontId="1"/>
  </si>
  <si>
    <t>O=[13C]1C[C@@H](c2ccccc2)[C@@H]([C@H](O)(c3ccccc3))c4ccccc14</t>
    <phoneticPr fontId="1"/>
  </si>
  <si>
    <t>c32</t>
    <phoneticPr fontId="1"/>
  </si>
  <si>
    <t>4-benzoyl-3-phenyl-3,4-dihydronaphthalen-1(2H)-one (trans-methanol to cis-1ol)</t>
    <phoneticPr fontId="1"/>
  </si>
  <si>
    <t>O=[13C]1C[C@H](c2ccccc2)[C@H]([C@@H](O)(c3ccccc3))c4ccccc14</t>
    <phoneticPr fontId="1"/>
  </si>
  <si>
    <t>c41</t>
    <phoneticPr fontId="1"/>
  </si>
  <si>
    <t>4-benzoyl-3-phenyl-3,4-dihydronaphthalen-1(2H)-one (cis-methanol to trans-1ol)</t>
    <phoneticPr fontId="1"/>
  </si>
  <si>
    <t>O=[13C]1C[C@@H](c2ccccc2)[C@@H]([C@@H](O)(c3ccccc3))c4ccccc14</t>
    <phoneticPr fontId="1"/>
  </si>
  <si>
    <t>c42</t>
    <phoneticPr fontId="1"/>
  </si>
  <si>
    <t>4-benzoyl-3-phenyl-3,4-dihydronaphthalen-1(2H)-one (cis-methanol to cis-1ol)</t>
    <phoneticPr fontId="1"/>
  </si>
  <si>
    <t>O=[13C]1C[C@H](c2ccccc2)[C@H]([C@H](O)(c3ccccc3))c4ccccc14</t>
    <phoneticPr fontId="1"/>
  </si>
  <si>
    <t>d1</t>
    <phoneticPr fontId="1"/>
  </si>
  <si>
    <t>5-benzoyloctahydro-7-nitro-3-oxo-4,6-diphenyl-1H-indene-5-carbonitrile (diketone to trans-3ol)</t>
    <phoneticPr fontId="1"/>
  </si>
  <si>
    <t>O=[13C]1[C@@H]2[C@@H](c3ccccc3)[C@](C#N)(C(=O)c4ccccc4)[C@@H](c5ccccc5)[C@H]([N+]([O-])=O)[C@@H]2CC1</t>
    <phoneticPr fontId="1"/>
  </si>
  <si>
    <r>
      <t>Zhou, Zhi, et al. "Double thiol-chiral Brønsted base catalysis: asymmetric cross Rauhut–Currier reaction and sequential [4+ 2] annulation for assembly of different activated olefins." </t>
    </r>
    <r>
      <rPr>
        <i/>
        <sz val="10"/>
        <color rgb="FF222222"/>
        <rFont val="Arial"/>
        <family val="2"/>
      </rPr>
      <t>Organic Letters</t>
    </r>
    <r>
      <rPr>
        <sz val="10"/>
        <color rgb="FF222222"/>
        <rFont val="Arial"/>
        <family val="2"/>
      </rPr>
      <t> 21.17 (2019): 7184-7188.</t>
    </r>
  </si>
  <si>
    <r>
      <t>77% (isolated yield. &gt;19:1. MeOH/DCM=1:1. 0</t>
    </r>
    <r>
      <rPr>
        <sz val="10"/>
        <color theme="1"/>
        <rFont val="Segoe UI Symbol"/>
        <family val="2"/>
      </rPr>
      <t>℃</t>
    </r>
    <r>
      <rPr>
        <sz val="10"/>
        <color theme="1"/>
        <rFont val="游ゴシック"/>
        <family val="2"/>
        <charset val="128"/>
      </rPr>
      <t>, 2h)</t>
    </r>
    <phoneticPr fontId="1"/>
  </si>
  <si>
    <t>d2</t>
    <phoneticPr fontId="1"/>
  </si>
  <si>
    <t>5-benzoyloctahydro-7-nitro-3-oxo-4,6-diphenyl-1H-indene-5-carbonitrile (diketone to cis-3ol)</t>
    <phoneticPr fontId="1"/>
  </si>
  <si>
    <t>O=[13C]1[C@H]2[C@H](c3ccccc3)[C@@](C#N)(C(=O)c4ccccc4)[C@H](c5ccccc5)[C@@H]([N+]([O-])=O)[C@H]2CC1</t>
    <phoneticPr fontId="1"/>
  </si>
  <si>
    <t>d3</t>
    <phoneticPr fontId="1"/>
  </si>
  <si>
    <t>5-benzoyloctahydro-7-nitro-3-oxo-4,6-diphenyl-1H-indene-5-carbonitrile (diketone to trans-methanol)</t>
    <phoneticPr fontId="1"/>
  </si>
  <si>
    <t>c1ccccc1[13C](=O)[C@@]2(C#N)[C@H](c3ccccc3)[C@@H]([N+]([O-])=O)[C@H]4CCC(=O)[C@H]4[C@@H]2c5ccccc5</t>
    <phoneticPr fontId="1"/>
  </si>
  <si>
    <t>d4</t>
    <phoneticPr fontId="1"/>
  </si>
  <si>
    <t>5-benzoyloctahydro-7-nitro-3-oxo-4,6-diphenyl-1H-indene-5-carbonitrile (diketone to cis-methanol)</t>
    <phoneticPr fontId="1"/>
  </si>
  <si>
    <t>c1ccccc1[13C](=O)[C@]2(C#N)[C@@H](c3ccccc3)[C@H]([N+]([O-])=O)[C@@H]4CCC(=O)[C@@H]4[C@H]2c5ccccc5</t>
    <phoneticPr fontId="1"/>
  </si>
  <si>
    <r>
      <t>Zhou, Zhi, et al. "Double thiol-chiral Brønsted base catalysis: asymmetric cross Rauhut–Currier reaction and sequential [4+ 2] annulation for assembly of different activated olefins." </t>
    </r>
    <r>
      <rPr>
        <i/>
        <sz val="10"/>
        <color rgb="FF222222"/>
        <rFont val="Arial"/>
        <family val="2"/>
      </rPr>
      <t>Organic Letters</t>
    </r>
    <r>
      <rPr>
        <sz val="10"/>
        <color rgb="FF222222"/>
        <rFont val="Arial"/>
        <family val="2"/>
      </rPr>
      <t> 21.17 (2019): 7184-7188.</t>
    </r>
    <phoneticPr fontId="1"/>
  </si>
  <si>
    <t>d13</t>
    <phoneticPr fontId="1"/>
  </si>
  <si>
    <t>5-benzoyloctahydro-7-nitro-3-oxo-4,6-diphenyl-1H-indene-5-carbonitrile (trans-3ol to trans-methanol)</t>
    <phoneticPr fontId="1"/>
  </si>
  <si>
    <t>c1ccccc1[13C](=O)[C@@]2(C#N)[C@H](c3ccccc3)[C@@H]([N+]([O-])=O)[C@H]4CC[C@@H](O)[C@H]4[C@@H]2c5ccccc5</t>
    <phoneticPr fontId="1"/>
  </si>
  <si>
    <t>d14</t>
    <phoneticPr fontId="1"/>
  </si>
  <si>
    <t>5-benzoyloctahydro-7-nitro-3-oxo-4,6-diphenyl-1H-indene-5-carbonitrile (trans-3ol to cis-methanol)</t>
    <phoneticPr fontId="1"/>
  </si>
  <si>
    <t>c1ccccc1[13C](=O)[C@]2(C#N)[C@@H](c3ccccc3)[C@H]([N+]([O-])=O)[C@@H]4CC[C@H](O)[C@@H]4[C@H]2c5ccccc5</t>
    <phoneticPr fontId="1"/>
  </si>
  <si>
    <t>d23</t>
    <phoneticPr fontId="1"/>
  </si>
  <si>
    <t>5-benzoyloctahydro-7-nitro-3-oxo-4,6-diphenyl-1H-indene-5-carbonitrile (cis-3ol to trans-methanol)</t>
    <phoneticPr fontId="1"/>
  </si>
  <si>
    <t>c1ccccc1[13C](=O)[C@@]2(C#N)[C@H](c3ccccc3)[C@@H]([N+]([O-])=O)[C@H]4CC[C@H](O)[C@H]4[C@@H]2c5ccccc5</t>
    <phoneticPr fontId="1"/>
  </si>
  <si>
    <t>d24</t>
    <phoneticPr fontId="1"/>
  </si>
  <si>
    <t>5-benzoyloctahydro-7-nitro-3-oxo-4,6-diphenyl-1H-indene-5-carbonitrile (cis-3ol to cis-methanol)</t>
    <phoneticPr fontId="1"/>
  </si>
  <si>
    <t>c1ccccc1[13C](=O)[C@]2(C#N)[C@@H](c3ccccc3)[C@H]([N+]([O-])=O)[C@@H]4CC[C@@H](O)[C@@H]4[C@H]2c5ccccc5</t>
    <phoneticPr fontId="1"/>
  </si>
  <si>
    <t>d31</t>
    <phoneticPr fontId="1"/>
  </si>
  <si>
    <t>5-benzoyloctahydro-7-nitro-3-oxo-4,6-diphenyl-1H-indene-5-carbonitrile (trans-methanol to trans-3ol)</t>
    <phoneticPr fontId="1"/>
  </si>
  <si>
    <t>O=[13C]1[C@@H]2[C@@H](c3ccccc3)[C@](C#N)([C@@H](O)c4ccccc4)[C@@H](c5ccccc5)[C@H]([N+]([O-])=O)[C@@H]2CC1</t>
    <phoneticPr fontId="1"/>
  </si>
  <si>
    <t>d32</t>
    <phoneticPr fontId="1"/>
  </si>
  <si>
    <t>5-benzoyloctahydro-7-nitro-3-oxo-4,6-diphenyl-1H-indene-5-carbonitrile (cis-methanol to cis-3ol)</t>
    <phoneticPr fontId="1"/>
  </si>
  <si>
    <t>O=[13C]1[C@H]2[C@H](c3ccccc3)[C@@](C#N)([C@@H](O)c4ccccc4)[C@H](c5ccccc5)[C@@H]([N+]([O-])=O)[C@H]2CC1</t>
    <phoneticPr fontId="1"/>
  </si>
  <si>
    <t>d41</t>
    <phoneticPr fontId="1"/>
  </si>
  <si>
    <t>5-benzoyloctahydro-7-nitro-3-oxo-4,6-diphenyl-1H-indene-5-carbonitrile (cis-methanol to trans-3ol)</t>
    <phoneticPr fontId="1"/>
  </si>
  <si>
    <t>O=[13C]1[C@@H]2[C@@H](c3ccccc3)[C@](C#N)([C@H](O)c4ccccc4)[C@@H](c5ccccc5)[C@H]([N+]([O-])=O)[C@@H]2CC1</t>
    <phoneticPr fontId="1"/>
  </si>
  <si>
    <t>d42</t>
    <phoneticPr fontId="1"/>
  </si>
  <si>
    <t>5-benzoyloctahydro-7-nitro-3-oxo-4,6-diphenyl-1H-indene-5-carbonitrile (trans-methanol to cis-3ol)</t>
    <phoneticPr fontId="1"/>
  </si>
  <si>
    <t>O=[13C]1[C@H]2[C@H](c3ccccc3)[C@@](C#N)([C@H](O)c4ccccc4)[C@H](c5ccccc5)[C@@H]([N+]([O-])=O)[C@H]2CC1</t>
    <phoneticPr fontId="1"/>
  </si>
  <si>
    <t>e1</t>
    <phoneticPr fontId="1"/>
  </si>
  <si>
    <t>3β,18-Cyclo-ent-trachylobane-14,15-dione (diketone to exo-15ol)</t>
    <phoneticPr fontId="1"/>
  </si>
  <si>
    <t>O=[13C]1[C@]2(C)C3C(=O)[C@]14CC[C@H]5[C@]6(C)C[C@@H]6CC[C@]5(C)[C@H]4C[C@@H]32</t>
    <phoneticPr fontId="1"/>
  </si>
  <si>
    <t>Abad, Antonio, et al. "A unified synthetic approach to trachylobane-, beyerane-, atisane-and kaurane-type diterpenes." Tetrahedron 62.14 (2006): 3266-3283.</t>
    <phoneticPr fontId="1"/>
  </si>
  <si>
    <t>e2</t>
    <phoneticPr fontId="1"/>
  </si>
  <si>
    <t>3β,18-Cyclo-ent-trachylobane-14,15-dione (diketone to endo-15ol)</t>
    <phoneticPr fontId="1"/>
  </si>
  <si>
    <t>O=[13C]1[C@@]2(C)C3C(=O)[C@@]14CC[C@@H]5[C@@]6(C)C[C@H]6CC[C@@]5(C)[C@@H]4C[C@H]32</t>
    <phoneticPr fontId="1"/>
  </si>
  <si>
    <r>
      <t>96% (MeOH/CH2Cl2=1:1. 0</t>
    </r>
    <r>
      <rPr>
        <sz val="10"/>
        <color theme="1"/>
        <rFont val="Segoe UI Symbol"/>
        <family val="2"/>
      </rPr>
      <t>℃</t>
    </r>
    <r>
      <rPr>
        <sz val="10"/>
        <color theme="1"/>
        <rFont val="游ゴシック"/>
        <family val="2"/>
        <charset val="128"/>
      </rPr>
      <t>, isolated yield.)</t>
    </r>
    <phoneticPr fontId="1"/>
  </si>
  <si>
    <t>e3</t>
    <phoneticPr fontId="1"/>
  </si>
  <si>
    <t>3β,18-Cyclo-ent-trachylobane-14,15-dione (diketone to exo-14ol)</t>
    <phoneticPr fontId="1"/>
  </si>
  <si>
    <t>O=[13C]1C2[C@]3(C)C(=O)[C@]14CC[C@@H]5[C@@]6(C)C[C@H]6CC[C@@]5(C)[C@@H]4C[C@H]23</t>
    <phoneticPr fontId="1"/>
  </si>
  <si>
    <t>e4</t>
    <phoneticPr fontId="1"/>
  </si>
  <si>
    <t>3β,18-Cyclo-ent-trachylobane-14,15-dione (diketone to endo-14ol)</t>
    <phoneticPr fontId="1"/>
  </si>
  <si>
    <t>O=[13C]1C2[C@@]3(C)C(=O)[C@@]14CC[C@H]5[C@]6(C)C[C@@H]6CC[C@]5(C)[C@H]4C[C@@H]23</t>
    <phoneticPr fontId="1"/>
  </si>
  <si>
    <t>e13</t>
    <phoneticPr fontId="1"/>
  </si>
  <si>
    <t>3β,18-Cyclo-ent-trachylobane-14,15-dione (exo-15ol to exo-14ol)</t>
    <phoneticPr fontId="1"/>
  </si>
  <si>
    <t>O=[13C]1C2[C@]3(C)[C@H](O)[C@]14CC[C@@H]5[C@@]6(C)C[C@H]6CC[C@@]5(C)[C@@H]4C[C@H]23</t>
    <phoneticPr fontId="1"/>
  </si>
  <si>
    <t>e14</t>
    <phoneticPr fontId="1"/>
  </si>
  <si>
    <t>3β,18-Cyclo-ent-trachylobane-14,15-dione (exo-15ol to endo-14ol)</t>
    <phoneticPr fontId="1"/>
  </si>
  <si>
    <t>O=[13C]1C2[C@@]3(C)[C@@H](O)[C@@]14CC[C@H]5[C@]6(C)C[C@@H]6CC[C@]5(C)[C@H]4C[C@@H]23</t>
    <phoneticPr fontId="1"/>
  </si>
  <si>
    <t>e23</t>
    <phoneticPr fontId="1"/>
  </si>
  <si>
    <t>3β,18-Cyclo-ent-trachylobane-14,15-dione (endo-15ol to exo-14ol)</t>
    <phoneticPr fontId="1"/>
  </si>
  <si>
    <t>O=[13C]1C2[C@]3(C)[C@@H](O)[C@]14CC[C@@H]5[C@@]6(C)C[C@H]6CC[C@@]5(C)[C@@H]4C[C@H]23</t>
    <phoneticPr fontId="1"/>
  </si>
  <si>
    <t>e24</t>
    <phoneticPr fontId="1"/>
  </si>
  <si>
    <t>3β,18-Cyclo-ent-trachylobane-14,15-dione (endo-15ol to endo-14ol)</t>
    <phoneticPr fontId="1"/>
  </si>
  <si>
    <t>O=[13C]1C2[C@@]3(C)[C@H](O)[C@@]14CC[C@H]5[C@]6(C)C[C@@H]6CC[C@]5(C)[C@H]4C[C@@H]23</t>
    <phoneticPr fontId="1"/>
  </si>
  <si>
    <t>e31</t>
    <phoneticPr fontId="1"/>
  </si>
  <si>
    <t>3β,18-Cyclo-ent-trachylobane-14,15-dione (exo-14ol to exo-15ol)</t>
    <phoneticPr fontId="1"/>
  </si>
  <si>
    <t>O=[13C]1[C@]2(C)C3[C@H](O)[C@]14CC[C@H]5[C@]6(C)C[C@@H]6CC[C@]5(C)[C@H]4C[C@@H]32</t>
    <phoneticPr fontId="1"/>
  </si>
  <si>
    <t>e32</t>
    <phoneticPr fontId="1"/>
  </si>
  <si>
    <t>3β,18-Cyclo-ent-trachylobane-14,15-dione (exo-14ol to endo-15ol)</t>
    <phoneticPr fontId="1"/>
  </si>
  <si>
    <t>O=[13C]1[C@@]2(C)C3[C@@H](O)[C@@]14CC[C@@H]5[C@@]6(C)C[C@H]6CC[C@@]5(C)[C@@H]4C[C@H]32</t>
    <phoneticPr fontId="1"/>
  </si>
  <si>
    <t>e41</t>
    <phoneticPr fontId="1"/>
  </si>
  <si>
    <t>3β,18-Cyclo-ent-trachylobane-14,15-dione (endo-14ol to exo-15ol)</t>
    <phoneticPr fontId="1"/>
  </si>
  <si>
    <t>O=[13C]1[C@]2(C)C3[C@@H](O)[C@]14CC[C@H]5[C@]6(C)C[C@@H]6CC[C@]5(C)[C@H]4C[C@@H]32</t>
    <phoneticPr fontId="1"/>
  </si>
  <si>
    <t>e42</t>
    <phoneticPr fontId="1"/>
  </si>
  <si>
    <t>3β,18-Cyclo-ent-trachylobane-14,15-dione (endo-14ol to endo-15ol)</t>
    <phoneticPr fontId="1"/>
  </si>
  <si>
    <t>O=[13C]1[C@@]2(C)C3[C@H](O)[C@@]14CC[C@@H]5[C@@]6(C)C[C@H]6CC[C@@]5(C)[C@@H]4C[C@H]32</t>
    <phoneticPr fontId="1"/>
  </si>
  <si>
    <t>f1</t>
    <phoneticPr fontId="1"/>
  </si>
  <si>
    <t>Neopupukean-11(13)-en-4,10-dione (diketone to endo-cyclopentanol)</t>
    <phoneticPr fontId="1"/>
  </si>
  <si>
    <t>O=[13C]1[C@]2(C)C[C@H]3[C@H](C(=C)C)C[C@@H]2[C@](C)(C3=O)C1</t>
    <phoneticPr fontId="1"/>
  </si>
  <si>
    <r>
      <t xml:space="preserve"> Srikrishna, A., G. Ravi, and DRC Venkata Subbaiah. "Enantioselective first total syntheses of 2-(formylamino) trachyopsane and ent-2-(isocyano) trachyopsane via a biomimetic approach." </t>
    </r>
    <r>
      <rPr>
        <i/>
        <sz val="10.5"/>
        <color theme="1"/>
        <rFont val="Times New Roman"/>
        <family val="1"/>
      </rPr>
      <t>Synlett</t>
    </r>
    <r>
      <rPr>
        <sz val="10.5"/>
        <color theme="1"/>
        <rFont val="Times New Roman"/>
        <family val="1"/>
      </rPr>
      <t> 2009.01 (2009): 32-34.</t>
    </r>
  </si>
  <si>
    <r>
      <t>89% (MeOH, 0</t>
    </r>
    <r>
      <rPr>
        <sz val="10"/>
        <color theme="1"/>
        <rFont val="Segoe UI Symbol"/>
        <family val="2"/>
      </rPr>
      <t>℃</t>
    </r>
    <r>
      <rPr>
        <sz val="10"/>
        <color theme="1"/>
        <rFont val="游ゴシック"/>
        <family val="2"/>
        <charset val="128"/>
      </rPr>
      <t>, selective reduction. Isolated yield.)</t>
    </r>
    <phoneticPr fontId="1"/>
  </si>
  <si>
    <t>f2</t>
    <phoneticPr fontId="1"/>
  </si>
  <si>
    <t>Neopupukean-11(13)-en-4,10-dione (diketone to exo-cyclopentanol)</t>
    <phoneticPr fontId="1"/>
  </si>
  <si>
    <t>O=[13C]1[C@@]2(C)C[C@@H]3[C@@H](C(=C)C)C[C@H]2[C@@](C)(C3=O)C1</t>
    <phoneticPr fontId="1"/>
  </si>
  <si>
    <t>f3</t>
    <phoneticPr fontId="1"/>
  </si>
  <si>
    <t>Neopupukean-11(13)-en-4,10-dione (diketone to endo-cyclohexanol)</t>
    <phoneticPr fontId="1"/>
  </si>
  <si>
    <t>O=[13C]1[C@]2(C)CC(=O)[C@]3(C)C[C@H]1[C@H](C(=C)C)C[C@H]23</t>
    <phoneticPr fontId="1"/>
  </si>
  <si>
    <t>f4</t>
    <phoneticPr fontId="1"/>
  </si>
  <si>
    <t>Neopupukean-11(13)-en-4,10-dione (diketone to exo-cyclohexanol)</t>
    <phoneticPr fontId="1"/>
  </si>
  <si>
    <t>O=[13C]1[C@@]2(C)CC(=O)[C@@]3(C)C[C@@H]1[C@@H](C(=C)C)C[C@@H]23</t>
    <phoneticPr fontId="1"/>
  </si>
  <si>
    <t>f31</t>
    <phoneticPr fontId="1"/>
  </si>
  <si>
    <t>Neopupukean-11(13)-en-4,10-dione (endo-cyclohexanol to endo-cyclopentanol)</t>
    <phoneticPr fontId="1"/>
  </si>
  <si>
    <t>O=[13C]1[C@]2(C)C[C@H]3[C@H](C(=C)C)C[C@@H]2[C@](C)([C@H]3O)C1</t>
    <phoneticPr fontId="1"/>
  </si>
  <si>
    <t>f41</t>
    <phoneticPr fontId="1"/>
  </si>
  <si>
    <t>Neopupukean-11(13)-en-4,10-dione (exo-cyclohexanol to endo-cyclopentanol)</t>
    <phoneticPr fontId="1"/>
  </si>
  <si>
    <t>O=[13C]1[C@]2(C)C[C@H]3[C@H](C(=C)C)C[C@@H]2[C@](C)([C@@H]3O)C1</t>
    <phoneticPr fontId="1"/>
  </si>
  <si>
    <t>f42</t>
    <phoneticPr fontId="1"/>
  </si>
  <si>
    <t>Neopupukean-11(13)-en-4,10-dione (exo-cyclohexanol to exo-cyclopentanol)</t>
    <phoneticPr fontId="1"/>
  </si>
  <si>
    <t>O=[13C]1[C@@]2(C)C[C@@H]3[C@@H](C(=C)C)C[C@H]2[C@@](C)([C@H]3O)C1</t>
    <phoneticPr fontId="1"/>
  </si>
  <si>
    <t>f32</t>
    <phoneticPr fontId="1"/>
  </si>
  <si>
    <t>Neopupukean-11(13)-en-4,10-dione (endo-cyclohexanol to exo-cyclopentanol)</t>
    <phoneticPr fontId="1"/>
  </si>
  <si>
    <t>O=[13C]1[C@@]2(C)C[C@@H]3[C@@H](C(=C)C)C[C@H]2[C@@](C)([C@@H]3O)C1</t>
    <phoneticPr fontId="1"/>
  </si>
  <si>
    <t>f13</t>
    <phoneticPr fontId="1"/>
  </si>
  <si>
    <t>Neopupukean-11(13)-en-4,10-dione (endo-cyclopentanol to endo-cyclohexanol)</t>
    <phoneticPr fontId="1"/>
  </si>
  <si>
    <t>O=[13C]1[C@]2(C)C[C@H](O)[C@]3(C)C[C@H]1[C@H](C(=C)C)C[C@H]23</t>
    <phoneticPr fontId="1"/>
  </si>
  <si>
    <t>f23</t>
    <phoneticPr fontId="1"/>
  </si>
  <si>
    <t>Neopupukean-11(13)-en-4,10-dione (exo-cyclopentanol to endo-cyclohexanol)</t>
    <phoneticPr fontId="1"/>
  </si>
  <si>
    <t>O=[13C]1[C@]2(C)C[C@@H](O)[C@]3(C)C[C@H]1[C@H](C(=C)C)C[C@H]23</t>
    <phoneticPr fontId="1"/>
  </si>
  <si>
    <t>f24</t>
    <phoneticPr fontId="1"/>
  </si>
  <si>
    <t>Neopupukean-11(13)-en-4,10-dione (exo-cyclopentanol to exo-cyclohexanol)</t>
    <phoneticPr fontId="1"/>
  </si>
  <si>
    <t>O=[13C]1[C@@]2(C)C[C@H](O)[C@@]3(C)C[C@@H]1[C@@H](C(=C)C)C[C@@H]23</t>
    <phoneticPr fontId="1"/>
  </si>
  <si>
    <t>f14</t>
    <phoneticPr fontId="1"/>
  </si>
  <si>
    <t>Neopupukean-11(13)-en-4,10-dione (endo-cyclopentanol to exo-cyclohexanol)</t>
    <phoneticPr fontId="1"/>
  </si>
  <si>
    <t>O=[13C]1[C@@]2(C)C[C@@H](O)[C@@]3(C)C[C@@H]1[C@@H](C(=C)C)C[C@@H]23</t>
    <phoneticPr fontId="1"/>
  </si>
  <si>
    <t>Starting amount [mmol]</t>
    <phoneticPr fontId="1"/>
  </si>
  <si>
    <r>
      <t xml:space="preserve">Endpoint ratio (from </t>
    </r>
    <r>
      <rPr>
        <b/>
        <vertAlign val="superscript"/>
        <sz val="10"/>
        <color theme="1"/>
        <rFont val="Arial"/>
        <family val="2"/>
      </rPr>
      <t>1</t>
    </r>
    <r>
      <rPr>
        <b/>
        <sz val="10"/>
        <color theme="1"/>
        <rFont val="Arial"/>
        <family val="2"/>
      </rPr>
      <t>H-NMR integration)</t>
    </r>
    <phoneticPr fontId="1"/>
  </si>
  <si>
    <t>confidence interval</t>
    <phoneticPr fontId="1"/>
  </si>
  <si>
    <t>ΔΔG [kcal/mol]</t>
    <phoneticPr fontId="1"/>
  </si>
  <si>
    <r>
      <rPr>
        <b/>
        <i/>
        <sz val="10"/>
        <color rgb="FF000000"/>
        <rFont val="Arial"/>
        <family val="2"/>
      </rPr>
      <t>A</t>
    </r>
    <r>
      <rPr>
        <b/>
        <vertAlign val="subscript"/>
        <sz val="10"/>
        <color rgb="FF000000"/>
        <rFont val="Arial"/>
        <family val="2"/>
      </rPr>
      <t>2</t>
    </r>
    <phoneticPr fontId="1"/>
  </si>
  <si>
    <r>
      <rPr>
        <b/>
        <i/>
        <sz val="10"/>
        <color rgb="FF000000"/>
        <rFont val="Arial"/>
        <family val="2"/>
      </rPr>
      <t>A</t>
    </r>
    <r>
      <rPr>
        <b/>
        <vertAlign val="subscript"/>
        <sz val="10"/>
        <color rgb="FF000000"/>
        <rFont val="Arial"/>
        <family val="2"/>
      </rPr>
      <t>1</t>
    </r>
    <phoneticPr fontId="1"/>
  </si>
  <si>
    <r>
      <t>NaBH</t>
    </r>
    <r>
      <rPr>
        <b/>
        <vertAlign val="subscript"/>
        <sz val="10"/>
        <color rgb="FF000000"/>
        <rFont val="Arial"/>
        <family val="2"/>
      </rPr>
      <t>4</t>
    </r>
    <phoneticPr fontId="1"/>
  </si>
  <si>
    <r>
      <t>alcohol</t>
    </r>
    <r>
      <rPr>
        <b/>
        <vertAlign val="subscript"/>
        <sz val="10"/>
        <color rgb="FF000000"/>
        <rFont val="Arial"/>
        <family val="2"/>
      </rPr>
      <t>1</t>
    </r>
    <phoneticPr fontId="1"/>
  </si>
  <si>
    <r>
      <t>alcohol</t>
    </r>
    <r>
      <rPr>
        <b/>
        <vertAlign val="subscript"/>
        <sz val="10"/>
        <color rgb="FF000000"/>
        <rFont val="Arial"/>
        <family val="2"/>
      </rPr>
      <t>2</t>
    </r>
    <phoneticPr fontId="1"/>
  </si>
  <si>
    <r>
      <t>[</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0</t>
    </r>
    <phoneticPr fontId="1"/>
  </si>
  <si>
    <r>
      <t>[</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0</t>
    </r>
    <phoneticPr fontId="1"/>
  </si>
  <si>
    <r>
      <t>-ln([</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1</t>
    </r>
    <r>
      <rPr>
        <b/>
        <sz val="10"/>
        <color rgb="FF000000"/>
        <rFont val="Arial"/>
        <family val="2"/>
      </rPr>
      <t>]</t>
    </r>
    <r>
      <rPr>
        <b/>
        <vertAlign val="subscript"/>
        <sz val="10"/>
        <color rgb="FF000000"/>
        <rFont val="Arial"/>
        <family val="2"/>
      </rPr>
      <t>0</t>
    </r>
    <r>
      <rPr>
        <b/>
        <sz val="10"/>
        <color rgb="FF000000"/>
        <rFont val="Arial"/>
        <family val="2"/>
      </rPr>
      <t>)</t>
    </r>
    <phoneticPr fontId="1"/>
  </si>
  <si>
    <r>
      <t>-ln([</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f</t>
    </r>
    <r>
      <rPr>
        <b/>
        <sz val="10"/>
        <color rgb="FF000000"/>
        <rFont val="Arial"/>
        <family val="2"/>
      </rPr>
      <t xml:space="preserve"> / [</t>
    </r>
    <r>
      <rPr>
        <b/>
        <i/>
        <sz val="10"/>
        <color rgb="FF000000"/>
        <rFont val="Arial"/>
        <family val="2"/>
      </rPr>
      <t>A</t>
    </r>
    <r>
      <rPr>
        <b/>
        <vertAlign val="subscript"/>
        <sz val="10"/>
        <color rgb="FF000000"/>
        <rFont val="Arial"/>
        <family val="2"/>
      </rPr>
      <t>2</t>
    </r>
    <r>
      <rPr>
        <b/>
        <sz val="10"/>
        <color rgb="FF000000"/>
        <rFont val="Arial"/>
        <family val="2"/>
      </rPr>
      <t>]</t>
    </r>
    <r>
      <rPr>
        <b/>
        <vertAlign val="subscript"/>
        <sz val="10"/>
        <color rgb="FF000000"/>
        <rFont val="Arial"/>
        <family val="2"/>
      </rPr>
      <t>0</t>
    </r>
    <r>
      <rPr>
        <b/>
        <sz val="10"/>
        <color rgb="FF000000"/>
        <rFont val="Arial"/>
        <family val="2"/>
      </rPr>
      <t>)</t>
    </r>
    <phoneticPr fontId="1"/>
  </si>
  <si>
    <t>LINEST analysis</t>
    <phoneticPr fontId="1"/>
  </si>
  <si>
    <t>± 1σ</t>
    <phoneticPr fontId="1"/>
  </si>
  <si>
    <t>%</t>
    <phoneticPr fontId="1"/>
  </si>
  <si>
    <t>value</t>
    <phoneticPr fontId="1"/>
  </si>
  <si>
    <t xml:space="preserve">±68% (1σ) </t>
    <phoneticPr fontId="1"/>
  </si>
  <si>
    <t>note</t>
    <phoneticPr fontId="1"/>
  </si>
  <si>
    <t>1-chloropinacolin</t>
    <phoneticPr fontId="1"/>
  </si>
  <si>
    <t>2,2,2-trifluoroacetophenone</t>
    <phoneticPr fontId="1"/>
  </si>
  <si>
    <t>4,4-dimethylcyclohexanone</t>
    <phoneticPr fontId="1"/>
  </si>
  <si>
    <t>2-indanone</t>
    <phoneticPr fontId="1"/>
  </si>
  <si>
    <t>4-tert-butylcyclohexanone</t>
    <phoneticPr fontId="1"/>
  </si>
  <si>
    <t>4-tert-butylcyclohexanone (trans)</t>
    <phoneticPr fontId="1"/>
  </si>
  <si>
    <t>4-tert-butylcyclohexanone (cis)</t>
  </si>
  <si>
    <t>4'-nitroacetophenone</t>
    <phoneticPr fontId="1"/>
  </si>
  <si>
    <t>3-methylcyclohexanone</t>
    <phoneticPr fontId="1"/>
  </si>
  <si>
    <t>3-methylcyclohexanone (cis)</t>
    <phoneticPr fontId="1"/>
  </si>
  <si>
    <t>3-methylcyclohexanone (trans)</t>
    <phoneticPr fontId="1"/>
  </si>
  <si>
    <t>4-phenyl-3-butyn-2-one</t>
    <phoneticPr fontId="1"/>
  </si>
  <si>
    <t>3'-nitroacetophenone</t>
    <phoneticPr fontId="1"/>
  </si>
  <si>
    <t>2-tetralone</t>
    <phoneticPr fontId="1"/>
  </si>
  <si>
    <t>2-adamantanone</t>
    <phoneticPr fontId="1"/>
  </si>
  <si>
    <t>4-phenyl-2-butanone</t>
    <phoneticPr fontId="1"/>
  </si>
  <si>
    <t>3,3,5-trimethylcyclohexanone</t>
    <phoneticPr fontId="1"/>
  </si>
  <si>
    <t>3,3,5-trimethylcyclohexanone(trans)</t>
    <phoneticPr fontId="1"/>
  </si>
  <si>
    <t>3,3,5-trimethylcyclohexanone(cis)</t>
    <phoneticPr fontId="1"/>
  </si>
  <si>
    <t>1-cyclopentylethanone</t>
    <phoneticPr fontId="1"/>
  </si>
  <si>
    <t>isobutyrophenone</t>
    <phoneticPr fontId="1"/>
  </si>
  <si>
    <t>4-tert-buthylcyclohexanone</t>
    <phoneticPr fontId="1"/>
  </si>
  <si>
    <t>4-methylcyclohexanone</t>
    <phoneticPr fontId="1"/>
  </si>
  <si>
    <t>4-methylcyclohexanone (trans)</t>
    <phoneticPr fontId="1"/>
  </si>
  <si>
    <t>4-methylcyclohexanone (cis)</t>
    <phoneticPr fontId="1"/>
  </si>
  <si>
    <t>cis-3-methylcyclohexanone</t>
    <phoneticPr fontId="1"/>
  </si>
  <si>
    <t>trans-3-methylcyclohexanone</t>
    <phoneticPr fontId="1"/>
  </si>
  <si>
    <t>cyclohexanone</t>
    <phoneticPr fontId="1"/>
  </si>
  <si>
    <t>4-nitroacetophenone</t>
    <phoneticPr fontId="1"/>
  </si>
  <si>
    <r>
      <rPr>
        <b/>
        <sz val="10"/>
        <color rgb="FF000000"/>
        <rFont val="ＭＳ Ｐゴシック"/>
        <family val="2"/>
        <charset val="128"/>
      </rPr>
      <t>2</t>
    </r>
    <r>
      <rPr>
        <b/>
        <sz val="10"/>
        <color rgb="FF000000"/>
        <rFont val="Arial"/>
        <family val="2"/>
      </rPr>
      <t>-tetralone</t>
    </r>
    <phoneticPr fontId="1"/>
  </si>
  <si>
    <t>9-fluorenone</t>
    <phoneticPr fontId="1"/>
  </si>
  <si>
    <t>3-(benzyloxy)cyclobutanone</t>
    <phoneticPr fontId="1"/>
  </si>
  <si>
    <t>3'-(trifluoromethyl)acetophenone</t>
    <phoneticPr fontId="1"/>
  </si>
  <si>
    <t>4'-(trifluoromethyl)acetophenone</t>
    <phoneticPr fontId="1"/>
  </si>
  <si>
    <t>2-fluorophenylacetone</t>
    <phoneticPr fontId="1"/>
  </si>
  <si>
    <t>1,1-dimethoxy-3-butanone</t>
    <phoneticPr fontId="1"/>
  </si>
  <si>
    <t>5-chloro-1-indanone</t>
    <phoneticPr fontId="1"/>
  </si>
  <si>
    <t>2-nonanone</t>
    <phoneticPr fontId="1"/>
  </si>
  <si>
    <t>4'-chloroacetophenone</t>
    <phoneticPr fontId="1"/>
  </si>
  <si>
    <t>2,2-dimethyl-1-phenylpropan-1-one</t>
    <phoneticPr fontId="1"/>
  </si>
  <si>
    <t>3'-chloroacetophenone</t>
    <phoneticPr fontId="1"/>
  </si>
  <si>
    <t>dibenzosuberenone</t>
    <phoneticPr fontId="1"/>
  </si>
  <si>
    <t>2-norbornanone</t>
    <phoneticPr fontId="1"/>
  </si>
  <si>
    <t>2-norbornanone (endo)</t>
    <phoneticPr fontId="1"/>
  </si>
  <si>
    <t>2-norbornanone (exo)</t>
    <phoneticPr fontId="1"/>
  </si>
  <si>
    <t>cycloheptanone</t>
    <phoneticPr fontId="1"/>
  </si>
  <si>
    <t>1,1-diphenylacetone</t>
    <phoneticPr fontId="1"/>
  </si>
  <si>
    <t>2'-acetonaphthone</t>
    <phoneticPr fontId="1"/>
  </si>
  <si>
    <t>2,2-dimethylcyclopentanone</t>
    <phoneticPr fontId="1"/>
  </si>
  <si>
    <t>2,2,6-trimethylcyclohexanone (trans)</t>
    <phoneticPr fontId="1"/>
  </si>
  <si>
    <t>2,2,6-Trimethylcyclohexanone-2</t>
  </si>
  <si>
    <t>2,2,6-Trimethylcyclohexanone-3</t>
  </si>
  <si>
    <t>2,2,6-trimethylcyclohexanone (cis)</t>
    <phoneticPr fontId="1"/>
  </si>
  <si>
    <t>5-nonanone</t>
    <phoneticPr fontId="1"/>
  </si>
  <si>
    <t>3,3,5,5-tetramethylcyclohexan-1-one</t>
    <phoneticPr fontId="1"/>
  </si>
  <si>
    <t>3,3,5,5-Tetramethylcyclohexan-1-one-2</t>
  </si>
  <si>
    <t>3,3,5,5-Tetramethylcyclohexan-1-one-3</t>
  </si>
  <si>
    <t>3'-methylacetophenone</t>
    <phoneticPr fontId="1"/>
  </si>
  <si>
    <t>3'-methoxyacetophenone</t>
    <phoneticPr fontId="1"/>
  </si>
  <si>
    <t>1-indanone</t>
    <phoneticPr fontId="1"/>
  </si>
  <si>
    <t>propiophenone</t>
    <phoneticPr fontId="1"/>
  </si>
  <si>
    <t>cyclobutyl phenyl ketone</t>
    <phoneticPr fontId="1"/>
  </si>
  <si>
    <t>1-tetralone</t>
    <phoneticPr fontId="1"/>
  </si>
  <si>
    <t>cyclohexyl phenyl ketone</t>
    <phoneticPr fontId="1"/>
  </si>
  <si>
    <t>valerophenone</t>
    <phoneticPr fontId="1"/>
  </si>
  <si>
    <t>butyrophenone</t>
    <phoneticPr fontId="1"/>
  </si>
  <si>
    <t>1-benzosuberone</t>
    <phoneticPr fontId="1"/>
  </si>
  <si>
    <t>4'-methylacetophenone</t>
    <phoneticPr fontId="1"/>
  </si>
  <si>
    <t>cyclopentyl phenyl ketone</t>
    <phoneticPr fontId="1"/>
  </si>
  <si>
    <t>(-)-menthone</t>
    <phoneticPr fontId="1"/>
  </si>
  <si>
    <t>(-)-menthone-2</t>
  </si>
  <si>
    <t>(-)-menthone-3</t>
  </si>
  <si>
    <t>(-)-menthone (eq)</t>
    <phoneticPr fontId="1"/>
  </si>
  <si>
    <t>(-)-menthone (ax)</t>
    <phoneticPr fontId="1"/>
  </si>
  <si>
    <t>cyclopropyl phenyl ketone</t>
    <phoneticPr fontId="1"/>
  </si>
  <si>
    <t>cyclopropylphenylketone-2</t>
  </si>
  <si>
    <t>cyclopropylphenylketone-3</t>
  </si>
  <si>
    <t>cyclooctanone</t>
    <phoneticPr fontId="1"/>
  </si>
  <si>
    <t>cyclooctanone-2</t>
  </si>
  <si>
    <t>cyclooctanone-3</t>
  </si>
  <si>
    <t xml:space="preserve"> 2-cyclopentylcyclopentanone</t>
    <phoneticPr fontId="1"/>
  </si>
  <si>
    <t xml:space="preserve"> 2-cyclopentylcyclopentanone-2</t>
  </si>
  <si>
    <t xml:space="preserve"> 2-cyclopentylcyclopentanone-3</t>
  </si>
  <si>
    <t xml:space="preserve"> 2-cyclopentylcyclopentanone-4</t>
  </si>
  <si>
    <t xml:space="preserve"> 2-cyclopentylcyclopentanone-5</t>
  </si>
  <si>
    <t>2-cyclopentylcyclopentanone(trans)</t>
    <phoneticPr fontId="1"/>
  </si>
  <si>
    <t>2-cyclopentylcyclopentanone(cis)</t>
    <phoneticPr fontId="1"/>
  </si>
  <si>
    <t>cyclododecanone</t>
    <phoneticPr fontId="1"/>
  </si>
  <si>
    <t>cyclododecanone-2</t>
  </si>
  <si>
    <t>cyclododecanone-3</t>
  </si>
  <si>
    <t>4'-methoxyacetophenone</t>
    <phoneticPr fontId="1"/>
  </si>
  <si>
    <t>4-methoxyacetophenone-2</t>
    <phoneticPr fontId="1"/>
  </si>
  <si>
    <t>isovalerophenone</t>
    <phoneticPr fontId="1"/>
  </si>
  <si>
    <t>isovalerophenone-2</t>
    <phoneticPr fontId="1"/>
  </si>
  <si>
    <t>isovalerophenone-3</t>
  </si>
  <si>
    <t>dicyclohexylketone</t>
    <phoneticPr fontId="1"/>
  </si>
  <si>
    <t>dicyclohexylketone-2</t>
    <phoneticPr fontId="1"/>
  </si>
  <si>
    <t>dicyclohexylketone-3</t>
    <phoneticPr fontId="1"/>
  </si>
  <si>
    <t>dibenzosuberone</t>
    <phoneticPr fontId="1"/>
  </si>
  <si>
    <t>dibenzosuberone-2</t>
    <phoneticPr fontId="1"/>
  </si>
  <si>
    <t>dibenzosuberone-3</t>
    <phoneticPr fontId="1"/>
  </si>
  <si>
    <t>2,2,2-triphenylacetophenone</t>
    <phoneticPr fontId="1"/>
  </si>
  <si>
    <t>methanol:CH2Cl2=1:4</t>
    <phoneticPr fontId="1"/>
  </si>
  <si>
    <t>2,2,2-triphenylacetophenone-2</t>
    <phoneticPr fontId="1"/>
  </si>
  <si>
    <t>2,2,2-triphenylacetophenone-3</t>
    <phoneticPr fontId="1"/>
  </si>
  <si>
    <t>2-nonanone-2</t>
  </si>
  <si>
    <t>2-nonanone-3</t>
  </si>
  <si>
    <t>5-nonanone-2</t>
  </si>
  <si>
    <t>5-nonanone-3</t>
  </si>
  <si>
    <t>2,6-dimethyl-4-heptanone</t>
    <phoneticPr fontId="1"/>
  </si>
  <si>
    <t>2,6-dimethyl-4-heptanone-2</t>
  </si>
  <si>
    <t>2,6-dimethyl-4-heptanone-3</t>
  </si>
  <si>
    <t>10,10-Dimethylanthracen-9(10H)-one</t>
    <phoneticPr fontId="1"/>
  </si>
  <si>
    <t>10,10-Dimethylanthracen-9(10H)-one-2</t>
  </si>
  <si>
    <t>10,10-Dimethylanthracen-9(10H)-one-3</t>
  </si>
  <si>
    <t>(+)-camphor</t>
    <phoneticPr fontId="1"/>
  </si>
  <si>
    <t>(+)-camphor-2</t>
  </si>
  <si>
    <t>(+)-camphor-3</t>
  </si>
  <si>
    <t>camphor (exo)</t>
    <phoneticPr fontId="1"/>
  </si>
  <si>
    <t>camphor (endo)</t>
    <phoneticPr fontId="1"/>
  </si>
  <si>
    <t>(-)-fenchone</t>
    <phoneticPr fontId="1"/>
  </si>
  <si>
    <t>(-)-fenchone-2</t>
  </si>
  <si>
    <t>(-)-fenchone-3</t>
  </si>
  <si>
    <t>fenchone (endo)</t>
    <phoneticPr fontId="1"/>
  </si>
  <si>
    <t>Calculated diastereoselectivity from the reduction results of the pure product</t>
    <phoneticPr fontId="1"/>
  </si>
  <si>
    <t>fenchone (exo)</t>
    <phoneticPr fontId="1"/>
  </si>
  <si>
    <t>Starting amount [mmol] in 1mL MeOH</t>
    <phoneticPr fontId="1"/>
  </si>
  <si>
    <t>A1 = 5-nonanone, 
A2 = adamantanone</t>
    <phoneticPr fontId="1"/>
  </si>
  <si>
    <t>A1 = adamantanone, 
A2 = 1-cyclopentylethanone</t>
    <phoneticPr fontId="1"/>
  </si>
  <si>
    <t>A1 = 1-cycloentylethanone, 
A2 = 5-nonanone</t>
    <phoneticPr fontId="1"/>
  </si>
  <si>
    <t>A1 = adamantanone, 
A2 = 4,4-dimethoxy</t>
    <phoneticPr fontId="1"/>
  </si>
  <si>
    <t>A1 = 4,4-dimethoxy, 
A2 = 5-nonanone</t>
    <phoneticPr fontId="1"/>
  </si>
  <si>
    <t>starting material [mmol]</t>
    <phoneticPr fontId="1"/>
  </si>
  <si>
    <t>Endpoint ratio (from 1H-NMR integration)</t>
    <phoneticPr fontId="1"/>
  </si>
  <si>
    <t>Endpoint ratio (scaled)</t>
    <phoneticPr fontId="1"/>
  </si>
  <si>
    <t>diketone</t>
    <phoneticPr fontId="1"/>
  </si>
  <si>
    <t>NaBH4</t>
    <phoneticPr fontId="1"/>
  </si>
  <si>
    <t>reaction time [min]</t>
    <phoneticPr fontId="1"/>
  </si>
  <si>
    <t>3one</t>
    <phoneticPr fontId="1"/>
  </si>
  <si>
    <r>
      <rPr>
        <b/>
        <i/>
        <sz val="10"/>
        <color theme="1"/>
        <rFont val="Arial"/>
        <family val="2"/>
        <charset val="161"/>
      </rPr>
      <t>α</t>
    </r>
    <r>
      <rPr>
        <b/>
        <sz val="10"/>
        <color theme="1"/>
        <rFont val="Arial"/>
        <family val="2"/>
      </rPr>
      <t>-3ol</t>
    </r>
    <phoneticPr fontId="1"/>
  </si>
  <si>
    <r>
      <rPr>
        <b/>
        <i/>
        <sz val="10"/>
        <color theme="1"/>
        <rFont val="Arial"/>
        <family val="2"/>
        <charset val="161"/>
      </rPr>
      <t>β</t>
    </r>
    <r>
      <rPr>
        <b/>
        <sz val="10"/>
        <color theme="1"/>
        <rFont val="Arial"/>
        <family val="2"/>
      </rPr>
      <t>-3ol</t>
    </r>
    <phoneticPr fontId="1"/>
  </si>
  <si>
    <r>
      <rPr>
        <b/>
        <i/>
        <sz val="10"/>
        <color theme="1"/>
        <rFont val="Arial"/>
        <family val="2"/>
        <charset val="161"/>
      </rPr>
      <t>α</t>
    </r>
    <r>
      <rPr>
        <b/>
        <sz val="10"/>
        <color theme="1"/>
        <rFont val="Arial"/>
        <family val="2"/>
      </rPr>
      <t>-20ol</t>
    </r>
    <phoneticPr fontId="1"/>
  </si>
  <si>
    <r>
      <rPr>
        <b/>
        <i/>
        <sz val="10"/>
        <color theme="1"/>
        <rFont val="Arial"/>
        <family val="2"/>
        <charset val="161"/>
      </rPr>
      <t>β</t>
    </r>
    <r>
      <rPr>
        <b/>
        <sz val="10"/>
        <color theme="1"/>
        <rFont val="Arial"/>
        <family val="2"/>
      </rPr>
      <t>-20ol</t>
    </r>
    <phoneticPr fontId="1"/>
  </si>
  <si>
    <t>reaction rate [%]</t>
    <phoneticPr fontId="1"/>
  </si>
  <si>
    <t>1</t>
    <phoneticPr fontId="1"/>
  </si>
  <si>
    <t>20one</t>
    <phoneticPr fontId="1"/>
  </si>
  <si>
    <t>-</t>
    <phoneticPr fontId="1"/>
  </si>
  <si>
    <t>Isopherone Oxide</t>
    <phoneticPr fontId="1"/>
  </si>
  <si>
    <t>1,4-Cyclohexanedion monoethyleneketal</t>
    <phoneticPr fontId="1"/>
  </si>
  <si>
    <t>Bicyclo[2.2.2]hept-5en-2one</t>
    <phoneticPr fontId="1"/>
  </si>
  <si>
    <t>Dongshun Ni, Brittany P. Witherspoon,et al. "Stereoselective [4+2]-Cycloaddition with Chiral Alkenylboranes" Angew. Chem. Int. Ed 59,28 (2020):11432</t>
    <phoneticPr fontId="1"/>
  </si>
  <si>
    <t>4746-97-8</t>
    <phoneticPr fontId="1"/>
  </si>
  <si>
    <t>O=C1[C@H]2C=C[C@H](C2)C1</t>
    <phoneticPr fontId="1"/>
  </si>
  <si>
    <t>O=C1[C@@H]2C=C[C@@H](C2)C1</t>
    <phoneticPr fontId="1"/>
  </si>
  <si>
    <t>O=C1[13CH2][C@H]2CC[C@H](N2C)C1</t>
    <phoneticPr fontId="1"/>
  </si>
  <si>
    <t>Tropinone (exo)</t>
    <phoneticPr fontId="1"/>
  </si>
  <si>
    <t>Tropinone (endo)</t>
    <phoneticPr fontId="1"/>
  </si>
  <si>
    <t>O=C1[13CH2][C@@H]2CC[C@@H](N2C)C1</t>
    <phoneticPr fontId="1"/>
  </si>
  <si>
    <t>O=C1[C@@H]2O[C@]2(C)CC(C)(C)C1</t>
    <phoneticPr fontId="1"/>
  </si>
  <si>
    <t>Isophorone Oxide (cis)</t>
    <phoneticPr fontId="1"/>
  </si>
  <si>
    <t>Isophorone Oxide (trans)</t>
    <phoneticPr fontId="1"/>
  </si>
  <si>
    <t>O=C1[C@H]2O[C@@]2(C)CC(C)(C)C1</t>
    <phoneticPr fontId="1"/>
  </si>
  <si>
    <t>Bicyclo[2.2.2]hept-5en-2one(exo)</t>
    <phoneticPr fontId="1"/>
  </si>
  <si>
    <t>Bicyclo[2.2.2]hept-5en-2one(endo)</t>
    <phoneticPr fontId="1"/>
  </si>
  <si>
    <t>Matthew A. Cooper, A.David Ward."Formation of dihydroxyselenides from allylic alcohols and their conversion to β-hydroxy epoxides via substitution of a phenylselenonyl group"Tetrahedron 60.36 (2004): 7963-7922.</t>
    <phoneticPr fontId="1"/>
  </si>
  <si>
    <t>O=C1[13CH2]CC2(OCCO2)CC1</t>
    <phoneticPr fontId="1"/>
  </si>
  <si>
    <t>2-Hydroxyacetophenone</t>
    <phoneticPr fontId="1"/>
  </si>
  <si>
    <t>4-Hydroxy-2-butanone</t>
    <phoneticPr fontId="1"/>
  </si>
  <si>
    <t>TCI(H0584)</t>
    <phoneticPr fontId="1"/>
  </si>
  <si>
    <t>590-90-9</t>
    <phoneticPr fontId="1"/>
  </si>
  <si>
    <t>O=C(C)CCO</t>
    <phoneticPr fontId="1"/>
  </si>
  <si>
    <t>SDBS(No.:15443)</t>
    <phoneticPr fontId="1"/>
  </si>
  <si>
    <t>Methyl Acetoacetate</t>
    <phoneticPr fontId="1"/>
  </si>
  <si>
    <t>O=C(c1ccccc1)CC#N</t>
    <phoneticPr fontId="1"/>
  </si>
  <si>
    <t>105-45-3</t>
    <phoneticPr fontId="1"/>
  </si>
  <si>
    <t>TCI(A0650)</t>
    <phoneticPr fontId="1"/>
  </si>
  <si>
    <t>O=C(C)CC(=O)OC</t>
    <phoneticPr fontId="1"/>
  </si>
  <si>
    <t>O=C(CO)c1ccccc1</t>
    <phoneticPr fontId="1"/>
  </si>
  <si>
    <t>O=C(c1ccccc1)C(c2ccccc2)(c3ccccc3)c4ccccc4</t>
    <phoneticPr fontId="1"/>
  </si>
  <si>
    <t>SDBS(No.:15082)</t>
    <phoneticPr fontId="1"/>
  </si>
  <si>
    <t>2-methylcyclohexanone</t>
    <phoneticPr fontId="1"/>
  </si>
  <si>
    <t>2-methylcyclohexanone(trans)</t>
    <phoneticPr fontId="1"/>
  </si>
  <si>
    <t>2-methylcyclohexanone(cis)</t>
    <phoneticPr fontId="1"/>
  </si>
  <si>
    <t>O=C1[C@H](C)CCCC1</t>
    <phoneticPr fontId="1"/>
  </si>
  <si>
    <t>O=C1[C@@H](C)CCCC1</t>
    <phoneticPr fontId="1"/>
  </si>
  <si>
    <t>Isopherone Oxide(trans)</t>
    <phoneticPr fontId="1"/>
  </si>
  <si>
    <t>Isopherone Oxide(cis)</t>
    <phoneticPr fontId="1"/>
  </si>
  <si>
    <t>dicyclopropyl ketone</t>
    <phoneticPr fontId="1"/>
  </si>
  <si>
    <t>6-methyl-5-hepten-2-one</t>
    <phoneticPr fontId="1"/>
  </si>
  <si>
    <t>O=C(C1CC1)C2CC2</t>
    <phoneticPr fontId="1"/>
  </si>
  <si>
    <t>O=C(C)CCC=C(C)C</t>
    <phoneticPr fontId="1"/>
  </si>
  <si>
    <t>D99(trans)</t>
    <phoneticPr fontId="1"/>
  </si>
  <si>
    <t>D99(cis)</t>
    <phoneticPr fontId="1"/>
  </si>
  <si>
    <t>TCI(M0197)</t>
    <phoneticPr fontId="1"/>
  </si>
  <si>
    <t>583-60-8</t>
    <phoneticPr fontId="1"/>
  </si>
  <si>
    <t>SDBS(No.:1437)</t>
    <phoneticPr fontId="1"/>
  </si>
  <si>
    <t>SDBS(No.:708)</t>
    <phoneticPr fontId="1"/>
  </si>
  <si>
    <t>SDBS(No.:709)</t>
    <phoneticPr fontId="1"/>
  </si>
  <si>
    <t>A99</t>
    <phoneticPr fontId="1"/>
  </si>
  <si>
    <t>D100</t>
    <phoneticPr fontId="1"/>
  </si>
  <si>
    <t>C99</t>
    <phoneticPr fontId="1"/>
  </si>
  <si>
    <t>C100</t>
    <phoneticPr fontId="1"/>
  </si>
  <si>
    <t>TCI(D1758)</t>
    <phoneticPr fontId="1"/>
  </si>
  <si>
    <t>1121-37-5</t>
    <phoneticPr fontId="1"/>
  </si>
  <si>
    <t>110-93-0</t>
    <phoneticPr fontId="1"/>
  </si>
  <si>
    <t>Wako</t>
    <phoneticPr fontId="1"/>
  </si>
  <si>
    <t>SDBS(No.:8552)</t>
    <phoneticPr fontId="1"/>
  </si>
  <si>
    <t>SDBS(No.:3575)</t>
    <phoneticPr fontId="1"/>
  </si>
  <si>
    <t>Confirmed from the Enamine database spectrum available on SciFinder.</t>
  </si>
  <si>
    <t>Confirmed from the Sigma-Aldrich database spectrum available on SciFinder.</t>
  </si>
  <si>
    <t>5-Chloro-2-pentanone</t>
    <phoneticPr fontId="1"/>
  </si>
  <si>
    <t>5-Methyl-3-heptanone</t>
    <phoneticPr fontId="1"/>
  </si>
  <si>
    <t>5-Chloro-2-pentanone</t>
    <phoneticPr fontId="1"/>
  </si>
  <si>
    <t>O=C(C)CCCCl</t>
    <phoneticPr fontId="1"/>
  </si>
  <si>
    <t>flavanone</t>
    <phoneticPr fontId="1"/>
  </si>
  <si>
    <t>D101</t>
    <phoneticPr fontId="1"/>
  </si>
  <si>
    <t>5-methyl-3-heptanone</t>
    <phoneticPr fontId="1"/>
  </si>
  <si>
    <t>541-85-5</t>
    <phoneticPr fontId="1"/>
  </si>
  <si>
    <t>O=C(CC)CC(C)CC</t>
    <phoneticPr fontId="1"/>
  </si>
  <si>
    <t>SDBS (No.:10178)</t>
    <phoneticPr fontId="1"/>
  </si>
  <si>
    <t>C102</t>
    <phoneticPr fontId="1"/>
  </si>
  <si>
    <t>C101</t>
    <phoneticPr fontId="1"/>
  </si>
  <si>
    <t>trans-benzalacetone</t>
    <phoneticPr fontId="1"/>
  </si>
  <si>
    <t>E99(exo)</t>
    <phoneticPr fontId="1"/>
  </si>
  <si>
    <t>E99(endo)</t>
    <phoneticPr fontId="1"/>
  </si>
  <si>
    <t>O=C(C)/C=C/c1ccccc1</t>
    <phoneticPr fontId="1"/>
  </si>
  <si>
    <t>2'-aminoacetophenone</t>
    <phoneticPr fontId="1"/>
  </si>
  <si>
    <t>O=C(C)c1c(N)cccc1</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</si>
</sst>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_ "/>
    <numFmt numFmtId="177" formatCode="0.000_ "/>
    <numFmt numFmtId="178" formatCode="0.0_);[Red]\(0.0\)"/>
    <numFmt numFmtId="179" formatCode="0.0E+00"/>
    <numFmt numFmtId="180" formatCode="0.0_ "/>
    <numFmt numFmtId="181" formatCode="0_);[Red]\(0\)"/>
    <numFmt numFmtId="182" formatCode="0_ "/>
  </numFmts>
  <fonts count="31">
    <font>
      <sz val="11"/>
      <color theme="1"/>
      <name val="游ゴシック"/>
      <family val="2"/>
      <charset val="128"/>
      <scheme val="minor"/>
    </font>
    <font>
      <sz val="6"/>
      <name val="游ゴシック"/>
      <family val="2"/>
      <charset val="128"/>
      <scheme val="minor"/>
    </font>
    <font>
      <sz val="10"/>
      <color theme="1"/>
      <name val="Arial"/>
      <family val="2"/>
    </font>
    <font>
      <sz val="10"/>
      <color rgb="FF000000"/>
      <name val="Arial"/>
      <family val="2"/>
    </font>
    <font>
      <sz val="10"/>
      <color rgb="FF242424"/>
      <name val="Arial"/>
      <family val="2"/>
    </font>
    <font>
      <b/>
      <sz val="10"/>
      <color theme="1"/>
      <name val="Arial"/>
      <family val="2"/>
    </font>
    <font>
      <sz val="10"/>
      <color theme="1"/>
      <name val="ＭＳ Ｐゴシック"/>
      <family val="3"/>
      <charset val="128"/>
    </font>
    <font>
      <sz val="10"/>
      <color theme="1" tint="0.499984740745262"/>
      <name val="Arial"/>
      <family val="2"/>
    </font>
    <font>
      <sz val="10"/>
      <color rgb="FF222222"/>
      <name val="Arial"/>
      <family val="2"/>
    </font>
    <font>
      <i/>
      <sz val="10"/>
      <color rgb="FF222222"/>
      <name val="Arial"/>
      <family val="2"/>
    </font>
    <font>
      <sz val="10"/>
      <color theme="1"/>
      <name val="Microsoft JhengHei"/>
      <family val="2"/>
    </font>
    <font>
      <sz val="11"/>
      <color rgb="FF1D1C1D"/>
      <name val="Arial"/>
      <family val="2"/>
    </font>
    <font>
      <i/>
      <sz val="11"/>
      <color rgb="FF1D1C1D"/>
      <name val="Arial"/>
      <family val="2"/>
    </font>
    <font>
      <b/>
      <sz val="10"/>
      <color theme="1"/>
      <name val="游ゴシック"/>
      <family val="2"/>
      <charset val="128"/>
    </font>
    <font>
      <b/>
      <sz val="10"/>
      <color rgb="FF000000"/>
      <name val="Arial"/>
      <family val="2"/>
    </font>
    <font>
      <b/>
      <vertAlign val="subscript"/>
      <sz val="10"/>
      <color theme="1"/>
      <name val="Arial"/>
      <family val="2"/>
    </font>
    <font>
      <b/>
      <i/>
      <sz val="10"/>
      <color rgb="FF000000"/>
      <name val="Arial"/>
      <family val="2"/>
    </font>
    <font>
      <b/>
      <vertAlign val="subscript"/>
      <sz val="10"/>
      <color rgb="FF000000"/>
      <name val="Arial"/>
      <family val="2"/>
    </font>
    <font>
      <b/>
      <vertAlign val="superscript"/>
      <sz val="10"/>
      <color theme="1"/>
      <name val="Arial"/>
      <family val="2"/>
    </font>
    <font>
      <b/>
      <sz val="10"/>
      <color rgb="FF000000"/>
      <name val="Arial"/>
      <family val="2"/>
      <charset val="128"/>
    </font>
    <font>
      <b/>
      <sz val="10"/>
      <color rgb="FF000000"/>
      <name val="ＭＳ Ｐゴシック"/>
      <family val="2"/>
      <charset val="128"/>
    </font>
    <font>
      <sz val="10"/>
      <color theme="1"/>
      <name val="游ゴシック"/>
      <family val="2"/>
      <charset val="128"/>
    </font>
    <font>
      <sz val="10"/>
      <color theme="1"/>
      <name val="Segoe UI Symbol"/>
      <family val="2"/>
    </font>
    <font>
      <b/>
      <i/>
      <sz val="10"/>
      <color theme="1"/>
      <name val="Arial"/>
      <family val="2"/>
      <charset val="161"/>
    </font>
    <font>
      <b/>
      <sz val="10"/>
      <color theme="1"/>
      <name val="Arial"/>
      <family val="2"/>
      <charset val="161"/>
    </font>
    <font>
      <sz val="10.5"/>
      <color theme="1"/>
      <name val="Times New Roman"/>
      <family val="1"/>
    </font>
    <font>
      <i/>
      <sz val="10.5"/>
      <color theme="1"/>
      <name val="Times New Roman"/>
      <family val="1"/>
    </font>
    <font>
      <b/>
      <sz val="10"/>
      <color rgb="FFFF0000"/>
      <name val="Arial"/>
      <family val="2"/>
    </font>
    <font>
      <sz val="10"/>
      <color rgb="FFFF0000"/>
      <name val="Arial"/>
      <family val="2"/>
    </font>
    <font>
      <b/>
      <strike/>
      <sz val="10"/>
      <color rgb="FFFF0000"/>
      <name val="Arial"/>
      <family val="2"/>
    </font>
    <font>
      <strike/>
      <sz val="10"/>
      <color rgb="FFFF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FFFF00"/>
        <bgColor indexed="64"/>
      </patternFill>
    </fill>
  </fills>
  <borders count="14">
    <border>
      <left/>
      <right/>
      <top/>
      <bottom/>
      <diagonal/>
    </border>
    <border>
      <left/>
      <right/>
      <top/>
      <bottom style="thin">
        <color indexed="64"/>
      </bottom>
      <diagonal/>
    </border>
    <border>
      <left/>
      <right/>
      <top style="thin">
        <color indexed="64"/>
      </top>
      <bottom/>
      <diagonal/>
    </border>
    <border>
      <left/>
      <right/>
      <top style="thin">
        <color theme="1" tint="0.499984740745262"/>
      </top>
      <bottom/>
      <diagonal/>
    </border>
    <border diagonalUp="1">
      <left/>
      <right/>
      <top/>
      <bottom style="thin">
        <color theme="1" tint="0.499984740745262"/>
      </bottom>
      <diagonal style="thin">
        <color theme="1" tint="0.499984740745262"/>
      </diagonal>
    </border>
    <border diagonalUp="1">
      <left/>
      <right/>
      <top/>
      <bottom/>
      <diagonal style="thin">
        <color theme="1" tint="0.499984740745262"/>
      </diagonal>
    </border>
    <border>
      <left/>
      <right/>
      <top/>
      <bottom style="thin">
        <color theme="1" tint="0.499984740745262"/>
      </bottom>
      <diagonal/>
    </border>
    <border>
      <left/>
      <right/>
      <top style="dashed">
        <color theme="1" tint="0.499984740745262"/>
      </top>
      <bottom/>
      <diagonal/>
    </border>
    <border diagonalUp="1">
      <left/>
      <right/>
      <top style="dashed">
        <color theme="1" tint="0.499984740745262"/>
      </top>
      <bottom/>
      <diagonal style="thin">
        <color theme="1" tint="0.499984740745262"/>
      </diagonal>
    </border>
    <border>
      <left/>
      <right/>
      <top/>
      <bottom style="dashed">
        <color theme="1" tint="0.499984740745262"/>
      </bottom>
      <diagonal/>
    </border>
    <border>
      <left/>
      <right/>
      <top/>
      <bottom style="dotted">
        <color theme="1" tint="0.499984740745262"/>
      </bottom>
      <diagonal/>
    </border>
    <border diagonalUp="1">
      <left/>
      <right/>
      <top style="thin">
        <color theme="1" tint="0.499984740745262"/>
      </top>
      <bottom/>
      <diagonal style="thin">
        <color theme="1" tint="0.499984740745262"/>
      </diagonal>
    </border>
    <border diagonalUp="1">
      <left/>
      <right/>
      <top style="thin">
        <color indexed="64"/>
      </top>
      <bottom/>
      <diagonal style="thin">
        <color theme="1" tint="0.499984740745262"/>
      </diagonal>
    </border>
    <border diagonalUp="1">
      <left/>
      <right/>
      <top/>
      <bottom style="dashed">
        <color theme="1" tint="0.499984740745262"/>
      </bottom>
      <diagonal style="thin">
        <color theme="1" tint="0.499984740745262"/>
      </diagonal>
    </border>
  </borders>
  <cellStyleXfs count="1">
    <xf numFmtId="0" fontId="0" fillId="0" borderId="0">
      <alignment vertical="center"/>
    </xf>
  </cellStyleXfs>
  <cellXfs count="199">
    <xf numFmtId="0" fontId="0" fillId="0" borderId="0" xfId="0">
      <alignment vertical="center"/>
    </xf>
    <xf numFmtId="0" fontId="2" fillId="0" borderId="0" xfId="0" applyFont="1" applyAlignment="1">
      <alignment horizontal="center" vertical="center"/>
    </xf>
    <xf numFmtId="0" fontId="2" fillId="0" borderId="0" xfId="0" applyFont="1">
      <alignment vertical="center"/>
    </xf>
    <xf numFmtId="176" fontId="2" fillId="0" borderId="0" xfId="0" applyNumberFormat="1" applyFont="1">
      <alignment vertical="center"/>
    </xf>
    <xf numFmtId="177" fontId="2" fillId="0" borderId="0" xfId="0" applyNumberFormat="1" applyFont="1">
      <alignment vertical="center"/>
    </xf>
    <xf numFmtId="11" fontId="2" fillId="0" borderId="0" xfId="0" applyNumberFormat="1" applyFont="1">
      <alignment vertical="center"/>
    </xf>
    <xf numFmtId="176" fontId="7" fillId="0" borderId="0" xfId="0" applyNumberFormat="1" applyFont="1">
      <alignment vertical="center"/>
    </xf>
    <xf numFmtId="176" fontId="2" fillId="0" borderId="3" xfId="0" applyNumberFormat="1" applyFont="1" applyBorder="1">
      <alignment vertical="center"/>
    </xf>
    <xf numFmtId="0" fontId="2" fillId="0" borderId="3" xfId="0" applyFont="1" applyBorder="1">
      <alignment vertical="center"/>
    </xf>
    <xf numFmtId="177" fontId="2" fillId="0" borderId="5" xfId="0" applyNumberFormat="1" applyFont="1" applyBorder="1">
      <alignment vertical="center"/>
    </xf>
    <xf numFmtId="177" fontId="2" fillId="0" borderId="3" xfId="0" applyNumberFormat="1" applyFont="1" applyBorder="1">
      <alignment vertical="center"/>
    </xf>
    <xf numFmtId="11" fontId="2" fillId="0" borderId="3" xfId="0" applyNumberFormat="1" applyFont="1" applyBorder="1">
      <alignment vertical="center"/>
    </xf>
    <xf numFmtId="0" fontId="8" fillId="0" borderId="0" xfId="0" applyFont="1">
      <alignment vertical="center"/>
    </xf>
    <xf numFmtId="179" fontId="2" fillId="0" borderId="0" xfId="0" applyNumberFormat="1" applyFont="1" applyAlignment="1">
      <alignment horizontal="center" vertical="center"/>
    </xf>
    <xf numFmtId="180" fontId="2" fillId="0" borderId="0" xfId="0" applyNumberFormat="1" applyFont="1" applyAlignment="1">
      <alignment horizontal="center" vertical="center"/>
    </xf>
    <xf numFmtId="176" fontId="2" fillId="0" borderId="0" xfId="0" applyNumberFormat="1" applyFont="1" applyAlignment="1">
      <alignment horizontal="center" vertical="center"/>
    </xf>
    <xf numFmtId="179" fontId="2" fillId="0" borderId="3" xfId="0" applyNumberFormat="1" applyFont="1" applyBorder="1" applyAlignment="1">
      <alignment horizontal="center" vertical="center"/>
    </xf>
    <xf numFmtId="180" fontId="2" fillId="0" borderId="3" xfId="0" applyNumberFormat="1" applyFont="1" applyBorder="1" applyAlignment="1">
      <alignment horizontal="center" vertical="center"/>
    </xf>
    <xf numFmtId="176" fontId="2" fillId="0" borderId="3" xfId="0" applyNumberFormat="1" applyFont="1" applyBorder="1" applyAlignment="1">
      <alignment horizontal="center" vertical="center"/>
    </xf>
    <xf numFmtId="0" fontId="2" fillId="0" borderId="3" xfId="0" applyFont="1" applyBorder="1" applyAlignment="1">
      <alignment horizontal="center" vertical="center"/>
    </xf>
    <xf numFmtId="178" fontId="2" fillId="0" borderId="3" xfId="0" applyNumberFormat="1" applyFont="1" applyBorder="1" applyAlignment="1">
      <alignment horizontal="center" vertical="center"/>
    </xf>
    <xf numFmtId="178" fontId="2" fillId="0" borderId="0" xfId="0" applyNumberFormat="1" applyFont="1" applyAlignment="1">
      <alignment horizontal="center" vertical="center"/>
    </xf>
    <xf numFmtId="176" fontId="3" fillId="0" borderId="0" xfId="0" applyNumberFormat="1" applyFont="1" applyAlignment="1">
      <alignment horizontal="center" vertical="center"/>
    </xf>
    <xf numFmtId="177" fontId="3" fillId="0" borderId="0" xfId="0" applyNumberFormat="1" applyFont="1" applyAlignment="1">
      <alignment horizontal="center" vertical="center"/>
    </xf>
    <xf numFmtId="177" fontId="4" fillId="0" borderId="0" xfId="0" applyNumberFormat="1" applyFont="1" applyAlignment="1">
      <alignment horizontal="center" vertical="center"/>
    </xf>
    <xf numFmtId="11" fontId="4" fillId="0" borderId="0" xfId="0" applyNumberFormat="1" applyFont="1" applyAlignment="1">
      <alignment horizontal="center" vertical="center"/>
    </xf>
    <xf numFmtId="0" fontId="2" fillId="2" borderId="0" xfId="0" applyFont="1" applyFill="1" applyAlignment="1">
      <alignment horizontal="center" vertical="center"/>
    </xf>
    <xf numFmtId="177" fontId="2" fillId="0" borderId="0" xfId="0" applyNumberFormat="1" applyFont="1" applyAlignment="1">
      <alignment horizontal="center" vertical="center"/>
    </xf>
    <xf numFmtId="181" fontId="2" fillId="0" borderId="5" xfId="0" applyNumberFormat="1" applyFont="1" applyBorder="1" applyAlignment="1">
      <alignment horizontal="center" vertical="center"/>
    </xf>
    <xf numFmtId="181" fontId="2" fillId="0" borderId="4" xfId="0" applyNumberFormat="1" applyFont="1" applyBorder="1" applyAlignment="1">
      <alignment horizontal="center" vertical="center"/>
    </xf>
    <xf numFmtId="176" fontId="3" fillId="0" borderId="3" xfId="0" applyNumberFormat="1" applyFont="1" applyBorder="1" applyAlignment="1">
      <alignment horizontal="center" vertical="center"/>
    </xf>
    <xf numFmtId="177" fontId="3" fillId="0" borderId="3" xfId="0" applyNumberFormat="1" applyFont="1" applyBorder="1" applyAlignment="1">
      <alignment horizontal="center" vertical="center"/>
    </xf>
    <xf numFmtId="177" fontId="4" fillId="0" borderId="3" xfId="0" applyNumberFormat="1" applyFont="1" applyBorder="1" applyAlignment="1">
      <alignment horizontal="center" vertical="center"/>
    </xf>
    <xf numFmtId="11" fontId="4" fillId="0" borderId="3" xfId="0" applyNumberFormat="1" applyFont="1" applyBorder="1" applyAlignment="1">
      <alignment horizontal="center" vertical="center"/>
    </xf>
    <xf numFmtId="0" fontId="2" fillId="2" borderId="3" xfId="0" applyFont="1" applyFill="1" applyBorder="1" applyAlignment="1">
      <alignment horizontal="center" vertical="center"/>
    </xf>
    <xf numFmtId="176" fontId="2" fillId="0" borderId="8" xfId="0" applyNumberFormat="1" applyFont="1" applyBorder="1" applyAlignment="1">
      <alignment horizontal="center" vertical="center"/>
    </xf>
    <xf numFmtId="177" fontId="2" fillId="0" borderId="8" xfId="0" applyNumberFormat="1" applyFont="1" applyBorder="1" applyAlignment="1">
      <alignment horizontal="center" vertical="center"/>
    </xf>
    <xf numFmtId="11" fontId="2" fillId="0" borderId="8" xfId="0" applyNumberFormat="1" applyFont="1" applyBorder="1" applyAlignment="1">
      <alignment horizontal="center" vertical="center"/>
    </xf>
    <xf numFmtId="0" fontId="2" fillId="0" borderId="7" xfId="0" applyFont="1" applyBorder="1" applyAlignment="1">
      <alignment horizontal="center" vertical="center"/>
    </xf>
    <xf numFmtId="179" fontId="2" fillId="0" borderId="7" xfId="0" applyNumberFormat="1" applyFont="1" applyBorder="1" applyAlignment="1">
      <alignment horizontal="center" vertical="center"/>
    </xf>
    <xf numFmtId="180" fontId="2" fillId="0" borderId="7" xfId="0" applyNumberFormat="1" applyFont="1" applyBorder="1" applyAlignment="1">
      <alignment horizontal="center" vertical="center"/>
    </xf>
    <xf numFmtId="176" fontId="2" fillId="0" borderId="7" xfId="0" applyNumberFormat="1" applyFont="1" applyBorder="1" applyAlignment="1">
      <alignment horizontal="center" vertical="center"/>
    </xf>
    <xf numFmtId="176" fontId="2" fillId="0" borderId="4" xfId="0" applyNumberFormat="1" applyFont="1" applyBorder="1" applyAlignment="1">
      <alignment horizontal="center" vertical="center"/>
    </xf>
    <xf numFmtId="177" fontId="2" fillId="0" borderId="4" xfId="0" applyNumberFormat="1" applyFont="1" applyBorder="1" applyAlignment="1">
      <alignment horizontal="center" vertical="center"/>
    </xf>
    <xf numFmtId="11" fontId="2" fillId="0" borderId="4" xfId="0" applyNumberFormat="1" applyFont="1" applyBorder="1" applyAlignment="1">
      <alignment horizontal="center" vertical="center"/>
    </xf>
    <xf numFmtId="176" fontId="2" fillId="0" borderId="5" xfId="0" applyNumberFormat="1" applyFont="1" applyBorder="1" applyAlignment="1">
      <alignment horizontal="center" vertical="center"/>
    </xf>
    <xf numFmtId="177" fontId="2" fillId="0" borderId="5" xfId="0" applyNumberFormat="1" applyFont="1" applyBorder="1" applyAlignment="1">
      <alignment horizontal="center" vertical="center"/>
    </xf>
    <xf numFmtId="11" fontId="2" fillId="0" borderId="5" xfId="0" applyNumberFormat="1" applyFont="1" applyBorder="1" applyAlignment="1">
      <alignment horizontal="center" vertical="center"/>
    </xf>
    <xf numFmtId="11" fontId="2" fillId="2" borderId="3" xfId="0" applyNumberFormat="1" applyFont="1" applyFill="1" applyBorder="1" applyAlignment="1">
      <alignment horizontal="center" vertical="center"/>
    </xf>
    <xf numFmtId="177" fontId="2" fillId="0" borderId="3" xfId="0" applyNumberFormat="1" applyFont="1" applyBorder="1" applyAlignment="1">
      <alignment horizontal="center" vertical="center"/>
    </xf>
    <xf numFmtId="11" fontId="2" fillId="0" borderId="3" xfId="0" applyNumberFormat="1" applyFont="1" applyBorder="1" applyAlignment="1">
      <alignment horizontal="center" vertical="center"/>
    </xf>
    <xf numFmtId="11" fontId="2" fillId="0" borderId="0" xfId="0" applyNumberFormat="1" applyFont="1" applyAlignment="1">
      <alignment horizontal="center" vertical="center"/>
    </xf>
    <xf numFmtId="0" fontId="2" fillId="2" borderId="7" xfId="0" applyFont="1" applyFill="1" applyBorder="1" applyAlignment="1">
      <alignment horizontal="center" vertical="center"/>
    </xf>
    <xf numFmtId="11" fontId="2" fillId="2" borderId="5" xfId="0" applyNumberFormat="1" applyFont="1" applyFill="1" applyBorder="1" applyAlignment="1">
      <alignment horizontal="center" vertical="center"/>
    </xf>
    <xf numFmtId="11" fontId="2" fillId="2" borderId="8" xfId="0" applyNumberFormat="1" applyFont="1" applyFill="1" applyBorder="1" applyAlignment="1">
      <alignment horizontal="center" vertical="center"/>
    </xf>
    <xf numFmtId="0" fontId="2" fillId="0" borderId="5" xfId="0" applyFont="1" applyBorder="1" applyAlignment="1">
      <alignment horizontal="center" vertical="center"/>
    </xf>
    <xf numFmtId="177" fontId="2" fillId="0" borderId="7" xfId="0" applyNumberFormat="1" applyFont="1" applyBorder="1" applyAlignment="1">
      <alignment horizontal="center" vertical="center"/>
    </xf>
    <xf numFmtId="11" fontId="2" fillId="0" borderId="7" xfId="0" applyNumberFormat="1" applyFont="1" applyBorder="1" applyAlignment="1">
      <alignment horizontal="center" vertical="center"/>
    </xf>
    <xf numFmtId="11" fontId="2" fillId="2" borderId="7" xfId="0" applyNumberFormat="1" applyFont="1" applyFill="1" applyBorder="1" applyAlignment="1">
      <alignment horizontal="center" vertical="center"/>
    </xf>
    <xf numFmtId="178" fontId="2" fillId="0" borderId="7" xfId="0" applyNumberFormat="1" applyFont="1" applyBorder="1" applyAlignment="1">
      <alignment horizontal="center" vertical="center"/>
    </xf>
    <xf numFmtId="0" fontId="2" fillId="2" borderId="6" xfId="0" applyFont="1" applyFill="1" applyBorder="1" applyAlignment="1">
      <alignment horizontal="center" vertical="center"/>
    </xf>
    <xf numFmtId="176" fontId="3" fillId="0" borderId="5" xfId="0" applyNumberFormat="1" applyFont="1" applyBorder="1" applyAlignment="1">
      <alignment horizontal="center" vertical="center"/>
    </xf>
    <xf numFmtId="177" fontId="3" fillId="0" borderId="5" xfId="0" applyNumberFormat="1" applyFont="1" applyBorder="1" applyAlignment="1">
      <alignment horizontal="center" vertical="center"/>
    </xf>
    <xf numFmtId="177" fontId="4" fillId="0" borderId="5" xfId="0" applyNumberFormat="1" applyFont="1" applyBorder="1" applyAlignment="1">
      <alignment horizontal="center" vertical="center"/>
    </xf>
    <xf numFmtId="11" fontId="4" fillId="0" borderId="5" xfId="0" applyNumberFormat="1" applyFont="1" applyBorder="1" applyAlignment="1">
      <alignment horizontal="center" vertical="center"/>
    </xf>
    <xf numFmtId="0" fontId="5" fillId="0" borderId="0" xfId="0" applyFont="1" applyAlignment="1">
      <alignment horizontal="center" vertical="center"/>
    </xf>
    <xf numFmtId="0" fontId="2" fillId="2" borderId="5"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7" xfId="0" applyFont="1" applyBorder="1" applyAlignment="1">
      <alignment horizontal="left" vertical="center"/>
    </xf>
    <xf numFmtId="0" fontId="11" fillId="0" borderId="0" xfId="0" applyFont="1">
      <alignment vertical="center"/>
    </xf>
    <xf numFmtId="9" fontId="2" fillId="0" borderId="0" xfId="0" applyNumberFormat="1" applyFont="1">
      <alignment vertical="center"/>
    </xf>
    <xf numFmtId="10" fontId="2" fillId="0" borderId="0" xfId="0" applyNumberFormat="1" applyFont="1">
      <alignment vertical="center"/>
    </xf>
    <xf numFmtId="0" fontId="2" fillId="0" borderId="5" xfId="0" applyFont="1" applyBorder="1">
      <alignment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2" fillId="0" borderId="8" xfId="0" applyFont="1" applyBorder="1" applyAlignment="1">
      <alignment horizontal="center" vertical="center"/>
    </xf>
    <xf numFmtId="0" fontId="2" fillId="0" borderId="4" xfId="0" applyFont="1" applyBorder="1" applyAlignment="1">
      <alignment horizontal="center" vertical="center"/>
    </xf>
    <xf numFmtId="0" fontId="2" fillId="0" borderId="11" xfId="0" applyFont="1" applyBorder="1" applyAlignment="1">
      <alignment horizontal="center" vertical="center"/>
    </xf>
    <xf numFmtId="0" fontId="5" fillId="0" borderId="5"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5" fillId="3" borderId="0" xfId="0" applyFont="1" applyFill="1">
      <alignment vertical="center"/>
    </xf>
    <xf numFmtId="0" fontId="14" fillId="3" borderId="0" xfId="0" applyFont="1" applyFill="1">
      <alignment vertical="center"/>
    </xf>
    <xf numFmtId="14" fontId="5" fillId="3" borderId="0" xfId="0" applyNumberFormat="1" applyFont="1" applyFill="1">
      <alignment vertical="center"/>
    </xf>
    <xf numFmtId="0" fontId="5" fillId="3" borderId="0" xfId="0" quotePrefix="1" applyFont="1" applyFill="1">
      <alignment vertical="center"/>
    </xf>
    <xf numFmtId="177" fontId="5" fillId="3" borderId="5" xfId="0" applyNumberFormat="1" applyFont="1" applyFill="1" applyBorder="1">
      <alignment vertical="center"/>
    </xf>
    <xf numFmtId="0" fontId="5" fillId="3" borderId="0" xfId="0" applyFont="1" applyFill="1" applyAlignment="1">
      <alignment horizontal="center" vertical="center"/>
    </xf>
    <xf numFmtId="176" fontId="5" fillId="3" borderId="0" xfId="0" applyNumberFormat="1" applyFont="1" applyFill="1" applyAlignment="1">
      <alignment horizontal="center" vertical="center"/>
    </xf>
    <xf numFmtId="176" fontId="5" fillId="3" borderId="0" xfId="0" applyNumberFormat="1" applyFont="1" applyFill="1">
      <alignment vertical="center"/>
    </xf>
    <xf numFmtId="11" fontId="5" fillId="3" borderId="0" xfId="0" applyNumberFormat="1" applyFont="1" applyFill="1">
      <alignment vertical="center"/>
    </xf>
    <xf numFmtId="0" fontId="14" fillId="3" borderId="1" xfId="0" applyFont="1" applyFill="1" applyBorder="1" applyAlignment="1">
      <alignment horizontal="center" vertical="center"/>
    </xf>
    <xf numFmtId="0" fontId="14" fillId="3" borderId="0" xfId="0" applyFont="1" applyFill="1" applyAlignment="1">
      <alignment horizontal="center" vertical="center"/>
    </xf>
    <xf numFmtId="0" fontId="14" fillId="3" borderId="7" xfId="0" applyFont="1" applyFill="1" applyBorder="1" applyAlignment="1">
      <alignment horizontal="center" vertical="center"/>
    </xf>
    <xf numFmtId="0" fontId="5" fillId="3" borderId="3" xfId="0" applyFont="1" applyFill="1" applyBorder="1" applyAlignment="1">
      <alignment horizontal="center" vertical="center"/>
    </xf>
    <xf numFmtId="177" fontId="5" fillId="3" borderId="0" xfId="0" applyNumberFormat="1" applyFont="1" applyFill="1" applyAlignment="1">
      <alignment horizontal="center" vertical="center"/>
    </xf>
    <xf numFmtId="176" fontId="14" fillId="3" borderId="1" xfId="0" applyNumberFormat="1" applyFont="1" applyFill="1" applyBorder="1" applyAlignment="1">
      <alignment horizontal="center" vertical="center"/>
    </xf>
    <xf numFmtId="177" fontId="14" fillId="3" borderId="1" xfId="0" applyNumberFormat="1" applyFont="1" applyFill="1" applyBorder="1" applyAlignment="1">
      <alignment horizontal="center" vertical="center"/>
    </xf>
    <xf numFmtId="177" fontId="14" fillId="3" borderId="1" xfId="0" quotePrefix="1" applyNumberFormat="1" applyFont="1" applyFill="1" applyBorder="1" applyAlignment="1">
      <alignment horizontal="center" vertical="center"/>
    </xf>
    <xf numFmtId="179" fontId="5" fillId="3" borderId="1" xfId="0" applyNumberFormat="1" applyFont="1" applyFill="1" applyBorder="1" applyAlignment="1">
      <alignment horizontal="center" vertical="center"/>
    </xf>
    <xf numFmtId="180" fontId="5" fillId="3" borderId="1" xfId="0" applyNumberFormat="1" applyFont="1" applyFill="1" applyBorder="1" applyAlignment="1">
      <alignment horizontal="center" vertical="center"/>
    </xf>
    <xf numFmtId="176" fontId="5" fillId="3" borderId="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3" xfId="0" applyFont="1" applyFill="1" applyBorder="1">
      <alignment vertical="center"/>
    </xf>
    <xf numFmtId="182" fontId="5" fillId="3" borderId="0" xfId="0" applyNumberFormat="1" applyFont="1" applyFill="1" applyAlignment="1">
      <alignment horizontal="center" vertical="center"/>
    </xf>
    <xf numFmtId="182" fontId="2" fillId="0" borderId="0" xfId="0" applyNumberFormat="1" applyFont="1" applyAlignment="1">
      <alignment horizontal="center" vertical="center"/>
    </xf>
    <xf numFmtId="0" fontId="14" fillId="4" borderId="0" xfId="0" applyFont="1" applyFill="1">
      <alignment vertical="center"/>
    </xf>
    <xf numFmtId="176" fontId="24" fillId="3" borderId="0" xfId="0" applyNumberFormat="1" applyFont="1" applyFill="1" applyAlignment="1">
      <alignment horizontal="center" vertical="center"/>
    </xf>
    <xf numFmtId="49" fontId="24" fillId="3" borderId="0" xfId="0" applyNumberFormat="1" applyFont="1" applyFill="1" applyAlignment="1">
      <alignment horizontal="center" vertical="center"/>
    </xf>
    <xf numFmtId="49" fontId="5" fillId="3" borderId="0" xfId="0" applyNumberFormat="1" applyFont="1" applyFill="1" applyAlignment="1">
      <alignment horizontal="center" vertical="center"/>
    </xf>
    <xf numFmtId="0" fontId="25" fillId="0" borderId="0" xfId="0" applyFont="1">
      <alignment vertical="center"/>
    </xf>
    <xf numFmtId="0" fontId="27" fillId="3" borderId="0" xfId="0" applyFont="1" applyFill="1">
      <alignment vertical="center"/>
    </xf>
    <xf numFmtId="0" fontId="28" fillId="0" borderId="0" xfId="0" applyFont="1">
      <alignment vertical="center"/>
    </xf>
    <xf numFmtId="0" fontId="28" fillId="0" borderId="0" xfId="0" applyFont="1" applyAlignment="1">
      <alignment horizontal="center" vertical="center"/>
    </xf>
    <xf numFmtId="177" fontId="28" fillId="0" borderId="5" xfId="0" applyNumberFormat="1" applyFont="1" applyBorder="1">
      <alignment vertical="center"/>
    </xf>
    <xf numFmtId="176" fontId="28" fillId="0" borderId="0" xfId="0" applyNumberFormat="1" applyFont="1">
      <alignment vertical="center"/>
    </xf>
    <xf numFmtId="11" fontId="28" fillId="0" borderId="0" xfId="0" applyNumberFormat="1" applyFont="1">
      <alignment vertical="center"/>
    </xf>
    <xf numFmtId="0" fontId="28" fillId="5" borderId="0" xfId="0" applyFont="1" applyFill="1">
      <alignment vertical="center"/>
    </xf>
    <xf numFmtId="176" fontId="3" fillId="5" borderId="3" xfId="0" applyNumberFormat="1" applyFont="1" applyFill="1" applyBorder="1" applyAlignment="1">
      <alignment horizontal="center" vertical="center"/>
    </xf>
    <xf numFmtId="176" fontId="2" fillId="5" borderId="3" xfId="0" applyNumberFormat="1" applyFont="1" applyFill="1" applyBorder="1" applyAlignment="1">
      <alignment horizontal="center" vertical="center"/>
    </xf>
    <xf numFmtId="177" fontId="3" fillId="5" borderId="3" xfId="0" applyNumberFormat="1" applyFont="1" applyFill="1" applyBorder="1" applyAlignment="1">
      <alignment horizontal="center" vertical="center"/>
    </xf>
    <xf numFmtId="177" fontId="4" fillId="5" borderId="3" xfId="0" applyNumberFormat="1" applyFont="1" applyFill="1" applyBorder="1" applyAlignment="1">
      <alignment horizontal="center" vertical="center"/>
    </xf>
    <xf numFmtId="11" fontId="4" fillId="5" borderId="3" xfId="0" applyNumberFormat="1" applyFont="1" applyFill="1" applyBorder="1" applyAlignment="1">
      <alignment horizontal="center" vertical="center"/>
    </xf>
    <xf numFmtId="0" fontId="2" fillId="5" borderId="3" xfId="0" applyFont="1" applyFill="1" applyBorder="1" applyAlignment="1">
      <alignment horizontal="center" vertical="center"/>
    </xf>
    <xf numFmtId="0" fontId="2" fillId="5" borderId="11" xfId="0" applyFont="1" applyFill="1" applyBorder="1" applyAlignment="1">
      <alignment horizontal="center" vertical="center"/>
    </xf>
    <xf numFmtId="176" fontId="3" fillId="5" borderId="0" xfId="0" applyNumberFormat="1" applyFont="1" applyFill="1" applyAlignment="1">
      <alignment horizontal="center" vertical="center"/>
    </xf>
    <xf numFmtId="176" fontId="2" fillId="5" borderId="0" xfId="0" applyNumberFormat="1" applyFont="1" applyFill="1" applyAlignment="1">
      <alignment horizontal="center" vertical="center"/>
    </xf>
    <xf numFmtId="177" fontId="3" fillId="5" borderId="0" xfId="0" applyNumberFormat="1" applyFont="1" applyFill="1" applyAlignment="1">
      <alignment horizontal="center" vertical="center"/>
    </xf>
    <xf numFmtId="177" fontId="2" fillId="5" borderId="0" xfId="0" applyNumberFormat="1" applyFont="1" applyFill="1" applyAlignment="1">
      <alignment horizontal="center" vertical="center"/>
    </xf>
    <xf numFmtId="177" fontId="4" fillId="5" borderId="0" xfId="0" applyNumberFormat="1" applyFont="1" applyFill="1" applyAlignment="1">
      <alignment horizontal="center" vertical="center"/>
    </xf>
    <xf numFmtId="11" fontId="4" fillId="5" borderId="0" xfId="0" applyNumberFormat="1" applyFont="1" applyFill="1" applyAlignment="1">
      <alignment horizontal="center" vertical="center"/>
    </xf>
    <xf numFmtId="0" fontId="2" fillId="5" borderId="0" xfId="0" applyFont="1" applyFill="1" applyAlignment="1">
      <alignment horizontal="center" vertical="center"/>
    </xf>
    <xf numFmtId="0" fontId="2" fillId="5" borderId="5" xfId="0" applyFont="1" applyFill="1" applyBorder="1" applyAlignment="1">
      <alignment horizontal="center" vertical="center"/>
    </xf>
    <xf numFmtId="176" fontId="2" fillId="5" borderId="5" xfId="0" applyNumberFormat="1" applyFont="1" applyFill="1" applyBorder="1" applyAlignment="1">
      <alignment horizontal="center" vertical="center"/>
    </xf>
    <xf numFmtId="177" fontId="2" fillId="5" borderId="5" xfId="0" applyNumberFormat="1" applyFont="1" applyFill="1" applyBorder="1" applyAlignment="1">
      <alignment horizontal="center" vertical="center"/>
    </xf>
    <xf numFmtId="11" fontId="2" fillId="5" borderId="5" xfId="0" applyNumberFormat="1" applyFont="1" applyFill="1" applyBorder="1" applyAlignment="1">
      <alignment horizontal="center" vertical="center"/>
    </xf>
    <xf numFmtId="0" fontId="2" fillId="5" borderId="4" xfId="0" applyFont="1" applyFill="1" applyBorder="1" applyAlignment="1">
      <alignment horizontal="center" vertical="center"/>
    </xf>
    <xf numFmtId="176" fontId="2" fillId="5" borderId="0" xfId="0" applyNumberFormat="1" applyFont="1" applyFill="1">
      <alignment vertical="center"/>
    </xf>
    <xf numFmtId="0" fontId="28" fillId="5" borderId="0" xfId="0" applyFont="1" applyFill="1" applyAlignment="1">
      <alignment horizontal="center" vertical="center"/>
    </xf>
    <xf numFmtId="0" fontId="29" fillId="3" borderId="0" xfId="0" applyFont="1" applyFill="1">
      <alignment vertical="center"/>
    </xf>
    <xf numFmtId="0" fontId="30" fillId="0" borderId="0" xfId="0" applyFont="1">
      <alignment vertical="center"/>
    </xf>
    <xf numFmtId="0" fontId="30" fillId="0" borderId="0" xfId="0" applyFont="1" applyAlignment="1">
      <alignment horizontal="center" vertical="center"/>
    </xf>
    <xf numFmtId="177" fontId="30" fillId="0" borderId="5" xfId="0" applyNumberFormat="1" applyFont="1" applyBorder="1">
      <alignment vertical="center"/>
    </xf>
    <xf numFmtId="176" fontId="30" fillId="0" borderId="0" xfId="0" applyNumberFormat="1" applyFont="1">
      <alignment vertical="center"/>
    </xf>
    <xf numFmtId="11" fontId="30" fillId="0" borderId="0" xfId="0" applyNumberFormat="1" applyFont="1">
      <alignment vertical="center"/>
    </xf>
    <xf numFmtId="0" fontId="30" fillId="5" borderId="0" xfId="0" applyFont="1" applyFill="1">
      <alignment vertical="center"/>
    </xf>
    <xf numFmtId="177" fontId="28" fillId="0" borderId="0" xfId="0" applyNumberFormat="1" applyFont="1">
      <alignment vertical="center"/>
    </xf>
    <xf numFmtId="0" fontId="14" fillId="5" borderId="0" xfId="0" applyFont="1" applyFill="1" applyAlignment="1">
      <alignment horizontal="center" vertical="center"/>
    </xf>
    <xf numFmtId="179" fontId="2" fillId="5" borderId="0" xfId="0" applyNumberFormat="1" applyFont="1" applyFill="1" applyAlignment="1">
      <alignment horizontal="center" vertical="center"/>
    </xf>
    <xf numFmtId="180" fontId="2" fillId="5" borderId="0" xfId="0" applyNumberFormat="1" applyFont="1" applyFill="1" applyAlignment="1">
      <alignment horizontal="center" vertical="center"/>
    </xf>
    <xf numFmtId="0" fontId="14" fillId="5" borderId="7" xfId="0" applyFont="1" applyFill="1" applyBorder="1" applyAlignment="1">
      <alignment horizontal="center" vertical="center"/>
    </xf>
    <xf numFmtId="176" fontId="2" fillId="5" borderId="8" xfId="0" applyNumberFormat="1" applyFont="1" applyFill="1" applyBorder="1" applyAlignment="1">
      <alignment horizontal="center" vertical="center"/>
    </xf>
    <xf numFmtId="177" fontId="2" fillId="5" borderId="8" xfId="0" applyNumberFormat="1" applyFont="1" applyFill="1" applyBorder="1" applyAlignment="1">
      <alignment horizontal="center" vertical="center"/>
    </xf>
    <xf numFmtId="11" fontId="2" fillId="5" borderId="8" xfId="0" applyNumberFormat="1" applyFont="1" applyFill="1" applyBorder="1" applyAlignment="1">
      <alignment horizontal="center" vertical="center"/>
    </xf>
    <xf numFmtId="0" fontId="2" fillId="5" borderId="7" xfId="0" applyFont="1" applyFill="1" applyBorder="1" applyAlignment="1">
      <alignment horizontal="center" vertical="center"/>
    </xf>
    <xf numFmtId="179" fontId="2" fillId="5" borderId="7" xfId="0" applyNumberFormat="1" applyFont="1" applyFill="1" applyBorder="1" applyAlignment="1">
      <alignment horizontal="center" vertical="center"/>
    </xf>
    <xf numFmtId="180" fontId="2" fillId="5" borderId="7" xfId="0" applyNumberFormat="1" applyFont="1" applyFill="1" applyBorder="1" applyAlignment="1">
      <alignment horizontal="center" vertical="center"/>
    </xf>
    <xf numFmtId="176" fontId="2" fillId="5" borderId="7" xfId="0" applyNumberFormat="1" applyFont="1" applyFill="1" applyBorder="1" applyAlignment="1">
      <alignment horizontal="center" vertical="center"/>
    </xf>
    <xf numFmtId="0" fontId="2" fillId="5" borderId="8" xfId="0" applyFont="1" applyFill="1" applyBorder="1" applyAlignment="1">
      <alignment horizontal="center" vertical="center"/>
    </xf>
    <xf numFmtId="176" fontId="5" fillId="3" borderId="0" xfId="0" applyNumberFormat="1" applyFont="1" applyFill="1" applyAlignment="1">
      <alignment horizontal="center" vertical="center"/>
    </xf>
    <xf numFmtId="0" fontId="5" fillId="3" borderId="0" xfId="0" applyFont="1" applyFill="1" applyAlignment="1">
      <alignment horizontal="center" vertical="center"/>
    </xf>
    <xf numFmtId="0" fontId="14" fillId="5" borderId="3" xfId="0" applyFont="1" applyFill="1" applyBorder="1" applyAlignment="1">
      <alignment horizontal="center" vertical="center"/>
    </xf>
    <xf numFmtId="0" fontId="14" fillId="5" borderId="0" xfId="0" applyFont="1" applyFill="1" applyAlignment="1">
      <alignment horizontal="center" vertical="center"/>
    </xf>
    <xf numFmtId="0" fontId="14" fillId="5" borderId="6" xfId="0" applyFont="1" applyFill="1" applyBorder="1" applyAlignment="1">
      <alignment horizontal="center" vertical="center"/>
    </xf>
    <xf numFmtId="179" fontId="2" fillId="5" borderId="3" xfId="0" applyNumberFormat="1" applyFont="1" applyFill="1" applyBorder="1" applyAlignment="1">
      <alignment horizontal="center" vertical="center"/>
    </xf>
    <xf numFmtId="179" fontId="2" fillId="5" borderId="0" xfId="0" applyNumberFormat="1" applyFont="1" applyFill="1" applyAlignment="1">
      <alignment horizontal="center" vertical="center"/>
    </xf>
    <xf numFmtId="179" fontId="2" fillId="5" borderId="6" xfId="0" applyNumberFormat="1" applyFont="1" applyFill="1" applyBorder="1" applyAlignment="1">
      <alignment horizontal="center" vertical="center"/>
    </xf>
    <xf numFmtId="180" fontId="2" fillId="5" borderId="3" xfId="0" applyNumberFormat="1" applyFont="1" applyFill="1" applyBorder="1" applyAlignment="1">
      <alignment horizontal="center" vertical="center"/>
    </xf>
    <xf numFmtId="180" fontId="2" fillId="5" borderId="0" xfId="0" applyNumberFormat="1" applyFont="1" applyFill="1" applyAlignment="1">
      <alignment horizontal="center" vertical="center"/>
    </xf>
    <xf numFmtId="180" fontId="2" fillId="5" borderId="6" xfId="0" applyNumberFormat="1" applyFont="1" applyFill="1" applyBorder="1" applyAlignment="1">
      <alignment horizontal="center" vertical="center"/>
    </xf>
    <xf numFmtId="176" fontId="2" fillId="5" borderId="3" xfId="0" applyNumberFormat="1" applyFont="1" applyFill="1" applyBorder="1" applyAlignment="1">
      <alignment horizontal="center" vertical="center"/>
    </xf>
    <xf numFmtId="176" fontId="2" fillId="5" borderId="0" xfId="0" applyNumberFormat="1" applyFont="1" applyFill="1" applyAlignment="1">
      <alignment horizontal="center" vertical="center"/>
    </xf>
    <xf numFmtId="176" fontId="2" fillId="5" borderId="6" xfId="0" applyNumberFormat="1" applyFont="1" applyFill="1" applyBorder="1" applyAlignment="1">
      <alignment horizontal="center" vertical="center"/>
    </xf>
    <xf numFmtId="176" fontId="2" fillId="0" borderId="3" xfId="0" applyNumberFormat="1" applyFont="1" applyBorder="1" applyAlignment="1">
      <alignment horizontal="center" vertical="center"/>
    </xf>
    <xf numFmtId="176" fontId="2" fillId="0" borderId="0" xfId="0" applyNumberFormat="1" applyFont="1" applyAlignment="1">
      <alignment horizontal="center" vertical="center"/>
    </xf>
    <xf numFmtId="176" fontId="2" fillId="0" borderId="6" xfId="0" applyNumberFormat="1" applyFont="1" applyBorder="1" applyAlignment="1">
      <alignment horizontal="center" vertical="center"/>
    </xf>
    <xf numFmtId="179" fontId="2" fillId="0" borderId="3" xfId="0" applyNumberFormat="1" applyFont="1" applyBorder="1" applyAlignment="1">
      <alignment horizontal="center" vertical="center"/>
    </xf>
    <xf numFmtId="179" fontId="2" fillId="0" borderId="0" xfId="0" applyNumberFormat="1" applyFont="1" applyAlignment="1">
      <alignment horizontal="center" vertical="center"/>
    </xf>
    <xf numFmtId="179" fontId="2" fillId="0" borderId="6" xfId="0" applyNumberFormat="1" applyFont="1" applyBorder="1" applyAlignment="1">
      <alignment horizontal="center" vertical="center"/>
    </xf>
    <xf numFmtId="180" fontId="2" fillId="0" borderId="3" xfId="0" applyNumberFormat="1" applyFont="1" applyBorder="1" applyAlignment="1">
      <alignment horizontal="center" vertical="center"/>
    </xf>
    <xf numFmtId="180" fontId="2" fillId="0" borderId="0" xfId="0" applyNumberFormat="1" applyFont="1" applyAlignment="1">
      <alignment horizontal="center" vertical="center"/>
    </xf>
    <xf numFmtId="180" fontId="2" fillId="0" borderId="6" xfId="0" applyNumberFormat="1" applyFont="1" applyBorder="1" applyAlignment="1">
      <alignment horizontal="center" vertical="center"/>
    </xf>
    <xf numFmtId="0" fontId="14" fillId="3" borderId="3" xfId="0" applyFont="1" applyFill="1" applyBorder="1" applyAlignment="1">
      <alignment horizontal="center" vertical="center"/>
    </xf>
    <xf numFmtId="0" fontId="14" fillId="3" borderId="0" xfId="0" applyFont="1" applyFill="1" applyAlignment="1">
      <alignment horizontal="center" vertical="center"/>
    </xf>
    <xf numFmtId="0" fontId="14" fillId="3" borderId="6" xfId="0" applyFont="1" applyFill="1" applyBorder="1" applyAlignment="1">
      <alignment horizontal="center" vertical="center"/>
    </xf>
    <xf numFmtId="0" fontId="14" fillId="3" borderId="2" xfId="0" applyFont="1" applyFill="1" applyBorder="1" applyAlignment="1">
      <alignment horizontal="center" vertical="center"/>
    </xf>
    <xf numFmtId="177" fontId="5" fillId="3" borderId="0" xfId="0" applyNumberFormat="1" applyFont="1" applyFill="1" applyAlignment="1">
      <alignment horizontal="center" vertical="center"/>
    </xf>
    <xf numFmtId="11" fontId="5" fillId="3" borderId="0" xfId="0" quotePrefix="1" applyNumberFormat="1" applyFont="1" applyFill="1" applyAlignment="1">
      <alignment horizontal="center" vertical="center"/>
    </xf>
    <xf numFmtId="179" fontId="2" fillId="0" borderId="2" xfId="0" applyNumberFormat="1" applyFont="1" applyBorder="1" applyAlignment="1">
      <alignment horizontal="center" vertical="center"/>
    </xf>
    <xf numFmtId="180" fontId="2" fillId="0" borderId="2" xfId="0" applyNumberFormat="1" applyFont="1" applyBorder="1" applyAlignment="1">
      <alignment horizontal="center" vertical="center"/>
    </xf>
    <xf numFmtId="176" fontId="2" fillId="0" borderId="2" xfId="0" applyNumberFormat="1" applyFont="1" applyBorder="1" applyAlignment="1">
      <alignment horizontal="center" vertical="center"/>
    </xf>
    <xf numFmtId="11" fontId="5" fillId="3" borderId="1" xfId="0" applyNumberFormat="1" applyFont="1" applyFill="1" applyBorder="1" applyAlignment="1">
      <alignment horizontal="center" vertical="center"/>
    </xf>
    <xf numFmtId="179" fontId="2" fillId="0" borderId="9" xfId="0" applyNumberFormat="1" applyFont="1" applyBorder="1" applyAlignment="1">
      <alignment horizontal="center" vertical="center"/>
    </xf>
    <xf numFmtId="180" fontId="2" fillId="0" borderId="10" xfId="0" applyNumberFormat="1" applyFont="1" applyBorder="1" applyAlignment="1">
      <alignment horizontal="center" vertical="center"/>
    </xf>
    <xf numFmtId="176" fontId="2" fillId="0" borderId="9" xfId="0" applyNumberFormat="1" applyFont="1" applyBorder="1" applyAlignment="1">
      <alignment horizontal="center" vertical="center"/>
    </xf>
    <xf numFmtId="0" fontId="19" fillId="3" borderId="3" xfId="0" applyFont="1" applyFill="1" applyBorder="1" applyAlignment="1">
      <alignment horizontal="center" vertical="center"/>
    </xf>
    <xf numFmtId="0" fontId="14" fillId="3" borderId="9" xfId="0" applyFont="1" applyFill="1" applyBorder="1" applyAlignment="1">
      <alignment horizontal="center" vertical="center"/>
    </xf>
    <xf numFmtId="0" fontId="14" fillId="3" borderId="2" xfId="0" applyFont="1" applyFill="1" applyBorder="1" applyAlignment="1">
      <alignment horizontal="center" vertical="center" wrapText="1"/>
    </xf>
    <xf numFmtId="0" fontId="14" fillId="3" borderId="3" xfId="0" applyFont="1" applyFill="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'A1 = fluorenone'!$K$18:$K$21</c:f>
              <c:numCache>
                <c:formatCode>0.00E+00</c:formatCode>
                <c:ptCount val="4"/>
                <c:pt idx="0">
                  <c:v>0.13102826240640414</c:v>
                </c:pt>
                <c:pt idx="1">
                  <c:v>0.19638881400539018</c:v>
                </c:pt>
                <c:pt idx="2">
                  <c:v>0.23815038342073183</c:v>
                </c:pt>
                <c:pt idx="3" formatCode="0.00_ ">
                  <c:v>0.26972174707478819</c:v>
                </c:pt>
              </c:numCache>
            </c:numRef>
          </c:xVal>
          <c:yVal>
            <c:numRef>
              <c:f>'A1 = fluorenone'!$L$18:$L$21</c:f>
              <c:numCache>
                <c:formatCode>0.00E+00</c:formatCode>
                <c:ptCount val="4"/>
                <c:pt idx="0">
                  <c:v>0.20678672866008418</c:v>
                </c:pt>
                <c:pt idx="1">
                  <c:v>0.35228068793749673</c:v>
                </c:pt>
                <c:pt idx="2">
                  <c:v>0.50692273473248028</c:v>
                </c:pt>
                <c:pt idx="3">
                  <c:v>0.59425605452980179</c:v>
                </c:pt>
              </c:numCache>
            </c:numRef>
          </c:yVal>
          <c:smooth val="0"/>
          <c:extLst>
            <c:ext xmlns:c16="http://schemas.microsoft.com/office/drawing/2014/chart" uri="{C3380CC4-5D6E-409C-BE32-E72D297353CC}">
              <c16:uniqueId val="{00000000-1330-4746-A804-9195B0AE9D45}"/>
            </c:ext>
          </c:extLst>
        </c:ser>
        <c:dLbls>
          <c:showLegendKey val="0"/>
          <c:showVal val="0"/>
          <c:showCatName val="0"/>
          <c:showSerName val="0"/>
          <c:showPercent val="0"/>
          <c:showBubbleSize val="0"/>
        </c:dLbls>
        <c:axId val="665522160"/>
        <c:axId val="665523240"/>
      </c:scatterChart>
      <c:valAx>
        <c:axId val="665522160"/>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65523240"/>
        <c:crosses val="autoZero"/>
        <c:crossBetween val="midCat"/>
      </c:valAx>
      <c:valAx>
        <c:axId val="665523240"/>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655221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4883697536298179"/>
          <c:y val="0.13595324635656006"/>
          <c:w val="0.77334208921374081"/>
          <c:h val="0.7045354145717615"/>
        </c:manualLayout>
      </c:layout>
      <c:scatterChart>
        <c:scatterStyle val="lineMarker"/>
        <c:varyColors val="0"/>
        <c:ser>
          <c:idx val="0"/>
          <c:order val="0"/>
          <c:tx>
            <c:v>fluorenone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18217280549317341"/>
                  <c:y val="-9.1298015789790165E-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strRef>
              <c:f>'A1 = benzophenone'!#REF!</c:f>
              <c:strCache>
                <c:ptCount val="1"/>
                <c:pt idx="0">
                  <c:v>#REF!</c:v>
                </c:pt>
              </c:strCache>
            </c:strRef>
          </c:xVal>
          <c:yVal>
            <c:numRef>
              <c:f>'A1 = benzophenone'!#REF!</c:f>
              <c:numCache>
                <c:formatCode>General</c:formatCode>
                <c:ptCount val="1"/>
                <c:pt idx="0">
                  <c:v>1</c:v>
                </c:pt>
              </c:numCache>
            </c:numRef>
          </c:yVal>
          <c:smooth val="0"/>
          <c:extLst>
            <c:ext xmlns:c16="http://schemas.microsoft.com/office/drawing/2014/chart" uri="{C3380CC4-5D6E-409C-BE32-E72D297353CC}">
              <c16:uniqueId val="{00000013-3052-423F-A9BB-76CA092394B8}"/>
            </c:ext>
          </c:extLst>
        </c:ser>
        <c:ser>
          <c:idx val="1"/>
          <c:order val="1"/>
          <c:tx>
            <c:v>acetophenone</c:v>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intercept val="0"/>
            <c:dispRSqr val="1"/>
            <c:dispEq val="1"/>
            <c:trendlineLbl>
              <c:layout>
                <c:manualLayout>
                  <c:x val="0.17522759660908307"/>
                  <c:y val="0.1122678142070135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benzophenone'!$K$227:$K$232</c:f>
              <c:numCache>
                <c:formatCode>0.00E+00</c:formatCode>
                <c:ptCount val="6"/>
                <c:pt idx="0">
                  <c:v>0.20701416938432615</c:v>
                </c:pt>
                <c:pt idx="1">
                  <c:v>0.3177261938001576</c:v>
                </c:pt>
                <c:pt idx="2">
                  <c:v>0.43825493093115531</c:v>
                </c:pt>
                <c:pt idx="3">
                  <c:v>0.77472716755236815</c:v>
                </c:pt>
                <c:pt idx="4">
                  <c:v>1.4134230285081431</c:v>
                </c:pt>
                <c:pt idx="5">
                  <c:v>2.2438960966453663</c:v>
                </c:pt>
              </c:numCache>
            </c:numRef>
          </c:xVal>
          <c:yVal>
            <c:numRef>
              <c:f>'A1 = benzophenone'!$L$227:$L$232</c:f>
              <c:numCache>
                <c:formatCode>0.00E+00</c:formatCode>
                <c:ptCount val="6"/>
                <c:pt idx="0">
                  <c:v>0.35655253742655302</c:v>
                </c:pt>
                <c:pt idx="1">
                  <c:v>0.53826523927414061</c:v>
                </c:pt>
                <c:pt idx="2">
                  <c:v>0.75986149794230973</c:v>
                </c:pt>
                <c:pt idx="3">
                  <c:v>1.2009856155627019</c:v>
                </c:pt>
                <c:pt idx="4">
                  <c:v>2.3884545607167782</c:v>
                </c:pt>
                <c:pt idx="5">
                  <c:v>3.4639861210759388</c:v>
                </c:pt>
              </c:numCache>
            </c:numRef>
          </c:yVal>
          <c:smooth val="0"/>
          <c:extLst>
            <c:ext xmlns:c16="http://schemas.microsoft.com/office/drawing/2014/chart" uri="{C3380CC4-5D6E-409C-BE32-E72D297353CC}">
              <c16:uniqueId val="{00000014-3052-423F-A9BB-76CA092394B8}"/>
            </c:ext>
          </c:extLst>
        </c:ser>
        <c:ser>
          <c:idx val="2"/>
          <c:order val="2"/>
          <c:tx>
            <c:v>dibenzosuberone</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intercept val="0"/>
            <c:dispRSqr val="1"/>
            <c:dispEq val="1"/>
            <c:trendlineLbl>
              <c:layout>
                <c:manualLayout>
                  <c:x val="0.17650906556851603"/>
                  <c:y val="-4.59539725645847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benzophenone'!$K$347:$K$349</c:f>
              <c:numCache>
                <c:formatCode>0.00E+00</c:formatCode>
                <c:ptCount val="3"/>
                <c:pt idx="0">
                  <c:v>0.28517894223366247</c:v>
                </c:pt>
                <c:pt idx="1">
                  <c:v>0.51879379341516751</c:v>
                </c:pt>
                <c:pt idx="2">
                  <c:v>0.53062825106217038</c:v>
                </c:pt>
              </c:numCache>
            </c:numRef>
          </c:xVal>
          <c:yVal>
            <c:numRef>
              <c:f>'A1 = benzophenone'!$L$347:$L$349</c:f>
              <c:numCache>
                <c:formatCode>0.00E+00</c:formatCode>
                <c:ptCount val="3"/>
                <c:pt idx="0">
                  <c:v>3.9530838756635323E-2</c:v>
                </c:pt>
                <c:pt idx="1">
                  <c:v>8.1041210003125891E-2</c:v>
                </c:pt>
                <c:pt idx="2">
                  <c:v>8.0789254927320878E-2</c:v>
                </c:pt>
              </c:numCache>
            </c:numRef>
          </c:yVal>
          <c:smooth val="0"/>
          <c:extLst>
            <c:ext xmlns:c16="http://schemas.microsoft.com/office/drawing/2014/chart" uri="{C3380CC4-5D6E-409C-BE32-E72D297353CC}">
              <c16:uniqueId val="{00000002-31C5-4CBF-9FF4-C6921225FF6E}"/>
            </c:ext>
          </c:extLst>
        </c:ser>
        <c:dLbls>
          <c:showLegendKey val="0"/>
          <c:showVal val="0"/>
          <c:showCatName val="0"/>
          <c:showSerName val="0"/>
          <c:showPercent val="0"/>
          <c:showBubbleSize val="0"/>
        </c:dLbls>
        <c:axId val="833073792"/>
        <c:axId val="833076312"/>
      </c:scatterChart>
      <c:valAx>
        <c:axId val="833073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a:t>
                </a:r>
                <a:r>
                  <a:rPr lang="en-US" baseline="-25000"/>
                  <a:t>1</a:t>
                </a:r>
                <a:r>
                  <a:rPr lang="en-US"/>
                  <a:t>]</a:t>
                </a:r>
                <a:r>
                  <a:rPr lang="en-US" baseline="-25000"/>
                  <a:t>f</a:t>
                </a:r>
                <a:r>
                  <a:rPr lang="en-US"/>
                  <a:t>/[A</a:t>
                </a:r>
                <a:r>
                  <a:rPr lang="en-US" baseline="-25000"/>
                  <a:t>1</a:t>
                </a:r>
                <a:r>
                  <a:rPr lang="en-US"/>
                  <a:t>]</a:t>
                </a:r>
                <a:r>
                  <a:rPr lang="en-US" baseline="-25000"/>
                  <a:t>0</a:t>
                </a:r>
                <a:r>
                  <a:rPr lang="en-US"/>
                  <a:t>)</a:t>
                </a:r>
                <a:endParaRPr lang="ja-JP"/>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_);[Red]\(#,##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833076312"/>
        <c:crosses val="autoZero"/>
        <c:crossBetween val="midCat"/>
        <c:majorUnit val="1"/>
      </c:valAx>
      <c:valAx>
        <c:axId val="8330763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-ln([A</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2</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f</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2</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r>
                  <a:rPr lang="en-US" altLang="ja-JP" sz="1000" b="0" i="0" u="none" strike="noStrike" kern="1200" baseline="-25000">
                    <a:solidFill>
                      <a:sysClr val="windowText" lastClr="000000">
                        <a:lumMod val="65000"/>
                        <a:lumOff val="35000"/>
                      </a:sysClr>
                    </a:solidFill>
                    <a:latin typeface="Arial" panose="020B0604020202020204" pitchFamily="34" charset="0"/>
                    <a:cs typeface="Arial" panose="020B0604020202020204" pitchFamily="34" charset="0"/>
                  </a:rPr>
                  <a:t>0</a:t>
                </a:r>
                <a:r>
                  <a:rPr lang="en-US"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rPr>
                  <a:t>)</a:t>
                </a:r>
                <a:endParaRPr lang="ja-JP" altLang="ja-JP" sz="1000" b="0" i="0" u="none" strike="noStrike" kern="1200" baseline="0">
                  <a:solidFill>
                    <a:sysClr val="windowText" lastClr="000000">
                      <a:lumMod val="65000"/>
                      <a:lumOff val="35000"/>
                    </a:sysClr>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_);[Red]\(#,##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833073792"/>
        <c:crosses val="autoZero"/>
        <c:crossBetween val="midCat"/>
        <c:majorUnit val="1"/>
      </c:valAx>
      <c:spPr>
        <a:noFill/>
        <a:ln>
          <a:solidFill>
            <a:schemeClr val="bg1">
              <a:lumMod val="75000"/>
            </a:schemeClr>
          </a:solidFill>
        </a:ln>
        <a:effectLst/>
      </c:spPr>
    </c:plotArea>
    <c:legend>
      <c:legendPos val="t"/>
      <c:legendEntry>
        <c:idx val="3"/>
        <c:delete val="1"/>
      </c:legendEntry>
      <c:legendEntry>
        <c:idx val="4"/>
        <c:delete val="1"/>
      </c:legendEntry>
      <c:legendEntry>
        <c:idx val="5"/>
        <c:delete val="1"/>
      </c:legendEntry>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'A1 = benzophenone'!$I$226:$I$232</c:f>
              <c:numCache>
                <c:formatCode>0.000_ </c:formatCode>
                <c:ptCount val="7"/>
                <c:pt idx="0">
                  <c:v>0.96618357487922713</c:v>
                </c:pt>
                <c:pt idx="1">
                  <c:v>0.81300813008130079</c:v>
                </c:pt>
                <c:pt idx="2">
                  <c:v>0.72780203784570596</c:v>
                </c:pt>
                <c:pt idx="3">
                  <c:v>0.64516129032258063</c:v>
                </c:pt>
                <c:pt idx="4">
                  <c:v>0.46082949308755761</c:v>
                </c:pt>
                <c:pt idx="5">
                  <c:v>0.24330900243309006</c:v>
                </c:pt>
                <c:pt idx="6">
                  <c:v>0.10604453870625663</c:v>
                </c:pt>
              </c:numCache>
            </c:numRef>
          </c:xVal>
          <c:yVal>
            <c:numRef>
              <c:f>'A1 = benzophenone'!$J$226:$J$232</c:f>
              <c:numCache>
                <c:formatCode>0.000_ </c:formatCode>
                <c:ptCount val="7"/>
                <c:pt idx="0">
                  <c:v>0.94112060778727447</c:v>
                </c:pt>
                <c:pt idx="1">
                  <c:v>0.70008568980291352</c:v>
                </c:pt>
                <c:pt idx="2">
                  <c:v>0.58376005852231172</c:v>
                </c:pt>
                <c:pt idx="3">
                  <c:v>0.46773120425815029</c:v>
                </c:pt>
                <c:pt idx="4">
                  <c:v>0.30089749645725083</c:v>
                </c:pt>
                <c:pt idx="5">
                  <c:v>9.1771401470239503E-2</c:v>
                </c:pt>
                <c:pt idx="6">
                  <c:v>3.130472854640981E-2</c:v>
                </c:pt>
              </c:numCache>
            </c:numRef>
          </c:yVal>
          <c:smooth val="0"/>
          <c:extLst>
            <c:ext xmlns:c16="http://schemas.microsoft.com/office/drawing/2014/chart" uri="{C3380CC4-5D6E-409C-BE32-E72D297353CC}">
              <c16:uniqueId val="{00000012-3F60-4BB7-8254-033409A1F649}"/>
            </c:ext>
          </c:extLst>
        </c:ser>
        <c:dLbls>
          <c:showLegendKey val="0"/>
          <c:showVal val="0"/>
          <c:showCatName val="0"/>
          <c:showSerName val="0"/>
          <c:showPercent val="0"/>
          <c:showBubbleSize val="0"/>
        </c:dLbls>
        <c:axId val="1050357400"/>
        <c:axId val="1050360640"/>
      </c:scatterChart>
      <c:valAx>
        <c:axId val="1050357400"/>
        <c:scaling>
          <c:orientation val="minMax"/>
          <c:max val="1"/>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a:t>
                </a:r>
                <a:r>
                  <a:rPr lang="en-US" i="1"/>
                  <a:t>A</a:t>
                </a:r>
                <a:r>
                  <a:rPr lang="en-US" baseline="-25000"/>
                  <a:t>1</a:t>
                </a:r>
                <a:r>
                  <a:rPr lang="en-US"/>
                  <a:t>]</a:t>
                </a:r>
                <a:r>
                  <a:rPr lang="en-US" baseline="-25000"/>
                  <a:t>f</a:t>
                </a:r>
                <a:r>
                  <a:rPr lang="en-US"/>
                  <a:t> / [</a:t>
                </a:r>
                <a:r>
                  <a:rPr lang="en-US" i="1"/>
                  <a:t>A</a:t>
                </a:r>
                <a:r>
                  <a:rPr lang="en-US" baseline="-25000"/>
                  <a:t>1</a:t>
                </a:r>
                <a:r>
                  <a:rPr lang="en-US"/>
                  <a:t>]</a:t>
                </a:r>
                <a:r>
                  <a:rPr lang="en-US" baseline="-25000"/>
                  <a:t>0</a:t>
                </a:r>
                <a:endParaRPr lang="ja-JP" baseline="-250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 "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60640"/>
        <c:crosses val="autoZero"/>
        <c:crossBetween val="midCat"/>
      </c:valAx>
      <c:valAx>
        <c:axId val="1050360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a:t>
                </a:r>
                <a:r>
                  <a:rPr lang="en-US" i="1"/>
                  <a:t>A</a:t>
                </a:r>
                <a:r>
                  <a:rPr lang="en-US" baseline="-25000"/>
                  <a:t>2</a:t>
                </a:r>
                <a:r>
                  <a:rPr lang="en-US"/>
                  <a:t>]</a:t>
                </a:r>
                <a:r>
                  <a:rPr lang="en-US" baseline="-25000"/>
                  <a:t>f</a:t>
                </a:r>
                <a:r>
                  <a:rPr lang="en-US"/>
                  <a:t> / [</a:t>
                </a:r>
                <a:r>
                  <a:rPr lang="en-US" i="1"/>
                  <a:t>A</a:t>
                </a:r>
                <a:r>
                  <a:rPr lang="en-US" baseline="-25000"/>
                  <a:t>2</a:t>
                </a:r>
                <a:r>
                  <a:rPr lang="en-US"/>
                  <a:t>]</a:t>
                </a:r>
                <a:r>
                  <a:rPr lang="en-US" baseline="-25000"/>
                  <a:t>0</a:t>
                </a:r>
                <a:endParaRPr lang="ja-JP" baseline="-25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 "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57400"/>
        <c:crosses val="autoZero"/>
        <c:crossBetween val="midCat"/>
        <c:majorUnit val="0.2"/>
      </c:valAx>
      <c:spPr>
        <a:noFill/>
        <a:ln>
          <a:solidFill>
            <a:schemeClr val="bg1">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7.1520118973265559E-2"/>
                  <c:y val="1.481374342129819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benzophenone'!$K$226:$K$232</c:f>
              <c:numCache>
                <c:formatCode>0.00E+00</c:formatCode>
                <c:ptCount val="7"/>
                <c:pt idx="0">
                  <c:v>3.4401426717332324E-2</c:v>
                </c:pt>
                <c:pt idx="1">
                  <c:v>0.20701416938432615</c:v>
                </c:pt>
                <c:pt idx="2">
                  <c:v>0.3177261938001576</c:v>
                </c:pt>
                <c:pt idx="3">
                  <c:v>0.43825493093115531</c:v>
                </c:pt>
                <c:pt idx="4">
                  <c:v>0.77472716755236815</c:v>
                </c:pt>
                <c:pt idx="5">
                  <c:v>1.4134230285081431</c:v>
                </c:pt>
                <c:pt idx="6">
                  <c:v>2.2438960966453663</c:v>
                </c:pt>
              </c:numCache>
            </c:numRef>
          </c:xVal>
          <c:yVal>
            <c:numRef>
              <c:f>'A1 = benzophenone'!$L$226:$L$232</c:f>
              <c:numCache>
                <c:formatCode>0.00E+00</c:formatCode>
                <c:ptCount val="7"/>
                <c:pt idx="0">
                  <c:v>6.0683977803987502E-2</c:v>
                </c:pt>
                <c:pt idx="1">
                  <c:v>0.35655253742655302</c:v>
                </c:pt>
                <c:pt idx="2">
                  <c:v>0.53826523927414061</c:v>
                </c:pt>
                <c:pt idx="3">
                  <c:v>0.75986149794230973</c:v>
                </c:pt>
                <c:pt idx="4">
                  <c:v>1.2009856155627019</c:v>
                </c:pt>
                <c:pt idx="5">
                  <c:v>2.3884545607167782</c:v>
                </c:pt>
                <c:pt idx="6">
                  <c:v>3.4639861210759388</c:v>
                </c:pt>
              </c:numCache>
            </c:numRef>
          </c:yVal>
          <c:smooth val="0"/>
          <c:extLst>
            <c:ext xmlns:c16="http://schemas.microsoft.com/office/drawing/2014/chart" uri="{C3380CC4-5D6E-409C-BE32-E72D297353CC}">
              <c16:uniqueId val="{00000012-3F60-4BB7-8254-033409A1F649}"/>
            </c:ext>
          </c:extLst>
        </c:ser>
        <c:dLbls>
          <c:showLegendKey val="0"/>
          <c:showVal val="0"/>
          <c:showCatName val="0"/>
          <c:showSerName val="0"/>
          <c:showPercent val="0"/>
          <c:showBubbleSize val="0"/>
        </c:dLbls>
        <c:axId val="1050357400"/>
        <c:axId val="1050360640"/>
      </c:scatterChart>
      <c:valAx>
        <c:axId val="1050357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t>
                </a:r>
                <a:r>
                  <a:rPr lang="en-US" i="1"/>
                  <a:t>A</a:t>
                </a:r>
                <a:r>
                  <a:rPr lang="en-US" baseline="-25000"/>
                  <a:t>1</a:t>
                </a:r>
                <a:r>
                  <a:rPr lang="en-US"/>
                  <a:t>]</a:t>
                </a:r>
                <a:r>
                  <a:rPr lang="en-US" baseline="-25000"/>
                  <a:t>f</a:t>
                </a:r>
                <a:r>
                  <a:rPr lang="en-US"/>
                  <a:t> / [</a:t>
                </a:r>
                <a:r>
                  <a:rPr lang="en-US" i="1"/>
                  <a:t>A</a:t>
                </a:r>
                <a:r>
                  <a:rPr lang="en-US" baseline="-25000"/>
                  <a:t>1</a:t>
                </a:r>
                <a:r>
                  <a:rPr lang="en-US"/>
                  <a:t>]</a:t>
                </a:r>
                <a:r>
                  <a:rPr lang="en-US" baseline="-25000"/>
                  <a:t>0</a:t>
                </a:r>
                <a:r>
                  <a:rPr lang="en-US"/>
                  <a:t>)</a:t>
                </a:r>
                <a:endParaRPr lang="ja-JP"/>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Red]\(#,##0.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60640"/>
        <c:crosses val="autoZero"/>
        <c:crossBetween val="midCat"/>
      </c:valAx>
      <c:valAx>
        <c:axId val="10503606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-ln([</a:t>
                </a:r>
                <a:r>
                  <a:rPr lang="en-US" i="1"/>
                  <a:t>A</a:t>
                </a:r>
                <a:r>
                  <a:rPr lang="en-US" baseline="-25000"/>
                  <a:t>2</a:t>
                </a:r>
                <a:r>
                  <a:rPr lang="en-US"/>
                  <a:t>]</a:t>
                </a:r>
                <a:r>
                  <a:rPr lang="en-US" baseline="-25000"/>
                  <a:t>f</a:t>
                </a:r>
                <a:r>
                  <a:rPr lang="en-US"/>
                  <a:t> / [</a:t>
                </a:r>
                <a:r>
                  <a:rPr lang="en-US" i="1"/>
                  <a:t>A</a:t>
                </a:r>
                <a:r>
                  <a:rPr lang="en-US" baseline="-25000"/>
                  <a:t>2</a:t>
                </a:r>
                <a:r>
                  <a:rPr lang="en-US"/>
                  <a:t>]</a:t>
                </a:r>
                <a:r>
                  <a:rPr lang="en-US" baseline="-25000"/>
                  <a:t>0</a:t>
                </a:r>
                <a:r>
                  <a:rPr lang="en-US"/>
                  <a:t>)</a:t>
                </a:r>
                <a:endParaRPr lang="ja-JP"/>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Red]\(#,##0.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050357400"/>
        <c:crosses val="autoZero"/>
        <c:crossBetween val="midCat"/>
        <c:majorUnit val="1"/>
      </c:valAx>
      <c:spPr>
        <a:noFill/>
        <a:ln>
          <a:solidFill>
            <a:schemeClr val="bg1">
              <a:lumMod val="7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'A1 = benzophenone'!$K$91:$K$93</c:f>
              <c:numCache>
                <c:formatCode>0.00E+00</c:formatCode>
                <c:ptCount val="3"/>
                <c:pt idx="0">
                  <c:v>4.6889894861314669E-3</c:v>
                </c:pt>
                <c:pt idx="1">
                  <c:v>2.3618865598633975E-2</c:v>
                </c:pt>
                <c:pt idx="2">
                  <c:v>0.28427627931694804</c:v>
                </c:pt>
              </c:numCache>
            </c:numRef>
          </c:xVal>
          <c:yVal>
            <c:numRef>
              <c:f>'A1 = benzophenone'!$L$91:$L$93</c:f>
              <c:numCache>
                <c:formatCode>0.00E+00</c:formatCode>
                <c:ptCount val="3"/>
                <c:pt idx="0">
                  <c:v>0.46403605925204378</c:v>
                </c:pt>
                <c:pt idx="1">
                  <c:v>1.8645617736569333</c:v>
                </c:pt>
                <c:pt idx="2">
                  <c:v>3.4475684091744365</c:v>
                </c:pt>
              </c:numCache>
            </c:numRef>
          </c:yVal>
          <c:smooth val="0"/>
          <c:extLst>
            <c:ext xmlns:c16="http://schemas.microsoft.com/office/drawing/2014/chart" uri="{C3380CC4-5D6E-409C-BE32-E72D297353CC}">
              <c16:uniqueId val="{00000000-B97E-4CF5-B95B-18D5D23747FF}"/>
            </c:ext>
          </c:extLst>
        </c:ser>
        <c:dLbls>
          <c:showLegendKey val="0"/>
          <c:showVal val="0"/>
          <c:showCatName val="0"/>
          <c:showSerName val="0"/>
          <c:showPercent val="0"/>
          <c:showBubbleSize val="0"/>
        </c:dLbls>
        <c:axId val="401390872"/>
        <c:axId val="401398072"/>
      </c:scatterChart>
      <c:valAx>
        <c:axId val="401390872"/>
        <c:scaling>
          <c:orientation val="minMax"/>
        </c:scaling>
        <c:delete val="0"/>
        <c:axPos val="b"/>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01398072"/>
        <c:crosses val="autoZero"/>
        <c:crossBetween val="midCat"/>
      </c:valAx>
      <c:valAx>
        <c:axId val="401398072"/>
        <c:scaling>
          <c:orientation val="minMax"/>
        </c:scaling>
        <c:delete val="0"/>
        <c:axPos val="l"/>
        <c:majorGridlines>
          <c:spPr>
            <a:ln w="9525" cap="flat" cmpd="sng" algn="ctr">
              <a:solidFill>
                <a:schemeClr val="tx1">
                  <a:lumMod val="15000"/>
                  <a:lumOff val="85000"/>
                </a:schemeClr>
              </a:solidFill>
              <a:round/>
            </a:ln>
            <a:effectLst/>
          </c:spPr>
        </c:majorGridlines>
        <c:numFmt formatCode="0.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4013908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olid"/>
              </a:ln>
              <a:effectLst/>
            </c:spPr>
            <c:trendlineType val="linear"/>
            <c:backward val="0.19000000000000003"/>
            <c:intercept val="0"/>
            <c:dispRSqr val="0"/>
            <c:dispEq val="1"/>
            <c:trendlineLbl>
              <c:numFmt formatCode="#,##0.00_);[Red]\(#,##0.00\)" sourceLinked="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rendlineLbl>
          </c:trendline>
          <c:xVal>
            <c:numRef>
              <c:f>'A1 = benzophenone'!$K$170:$K$172</c:f>
              <c:numCache>
                <c:formatCode>0.00E+00</c:formatCode>
                <c:ptCount val="3"/>
                <c:pt idx="0">
                  <c:v>0.1906203596086497</c:v>
                </c:pt>
                <c:pt idx="1">
                  <c:v>0.30821972366932898</c:v>
                </c:pt>
                <c:pt idx="2">
                  <c:v>0.50561205671310316</c:v>
                </c:pt>
              </c:numCache>
            </c:numRef>
          </c:xVal>
          <c:yVal>
            <c:numRef>
              <c:f>'A1 = benzophenone'!$L$170:$L$172</c:f>
              <c:numCache>
                <c:formatCode>0.00E+00</c:formatCode>
                <c:ptCount val="3"/>
                <c:pt idx="0">
                  <c:v>0.60734719075661259</c:v>
                </c:pt>
                <c:pt idx="1">
                  <c:v>0.84853502496415278</c:v>
                </c:pt>
                <c:pt idx="2">
                  <c:v>1.4048856012297732</c:v>
                </c:pt>
              </c:numCache>
            </c:numRef>
          </c:yVal>
          <c:smooth val="0"/>
          <c:extLst>
            <c:ext xmlns:c16="http://schemas.microsoft.com/office/drawing/2014/chart" uri="{C3380CC4-5D6E-409C-BE32-E72D297353CC}">
              <c16:uniqueId val="{00000000-F6F0-4666-A0CF-498B1F61D477}"/>
            </c:ext>
          </c:extLst>
        </c:ser>
        <c:dLbls>
          <c:showLegendKey val="0"/>
          <c:showVal val="0"/>
          <c:showCatName val="0"/>
          <c:showSerName val="0"/>
          <c:showPercent val="0"/>
          <c:showBubbleSize val="0"/>
        </c:dLbls>
        <c:axId val="782870200"/>
        <c:axId val="782845944"/>
      </c:scatterChart>
      <c:valAx>
        <c:axId val="782870200"/>
        <c:scaling>
          <c:orientation val="minMax"/>
          <c:max val="0.60000000000000009"/>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tLang="ja-JP">
                    <a:latin typeface="Arial" panose="020B0604020202020204" pitchFamily="34" charset="0"/>
                    <a:cs typeface="Arial" panose="020B0604020202020204" pitchFamily="34" charset="0"/>
                  </a:rPr>
                  <a:t>-ln([</a:t>
                </a:r>
                <a:r>
                  <a:rPr lang="en-US" altLang="ja-JP" i="1">
                    <a:latin typeface="Arial" panose="020B0604020202020204" pitchFamily="34" charset="0"/>
                    <a:cs typeface="Arial" panose="020B0604020202020204" pitchFamily="34" charset="0"/>
                  </a:rPr>
                  <a:t>A</a:t>
                </a:r>
                <a:r>
                  <a:rPr lang="en-US" altLang="ja-JP" baseline="-25000">
                    <a:latin typeface="Arial" panose="020B0604020202020204" pitchFamily="34" charset="0"/>
                    <a:cs typeface="Arial" panose="020B0604020202020204" pitchFamily="34" charset="0"/>
                  </a:rPr>
                  <a:t>1</a:t>
                </a:r>
                <a:r>
                  <a:rPr lang="en-US" altLang="ja-JP">
                    <a:latin typeface="Arial" panose="020B0604020202020204" pitchFamily="34" charset="0"/>
                    <a:cs typeface="Arial" panose="020B0604020202020204" pitchFamily="34" charset="0"/>
                  </a:rPr>
                  <a:t>]</a:t>
                </a:r>
                <a:r>
                  <a:rPr lang="en-US" altLang="ja-JP" baseline="-25000">
                    <a:latin typeface="Arial" panose="020B0604020202020204" pitchFamily="34" charset="0"/>
                    <a:cs typeface="Arial" panose="020B0604020202020204" pitchFamily="34" charset="0"/>
                  </a:rPr>
                  <a:t>f</a:t>
                </a:r>
                <a:r>
                  <a:rPr lang="en-US" altLang="ja-JP">
                    <a:latin typeface="Arial" panose="020B0604020202020204" pitchFamily="34" charset="0"/>
                    <a:cs typeface="Arial" panose="020B0604020202020204" pitchFamily="34" charset="0"/>
                  </a:rPr>
                  <a:t> / [</a:t>
                </a:r>
                <a:r>
                  <a:rPr lang="en-US" altLang="ja-JP" i="1">
                    <a:latin typeface="Arial" panose="020B0604020202020204" pitchFamily="34" charset="0"/>
                    <a:cs typeface="Arial" panose="020B0604020202020204" pitchFamily="34" charset="0"/>
                  </a:rPr>
                  <a:t>A</a:t>
                </a:r>
                <a:r>
                  <a:rPr lang="en-US" altLang="ja-JP" baseline="-25000">
                    <a:latin typeface="Arial" panose="020B0604020202020204" pitchFamily="34" charset="0"/>
                    <a:cs typeface="Arial" panose="020B0604020202020204" pitchFamily="34" charset="0"/>
                  </a:rPr>
                  <a:t>1</a:t>
                </a:r>
                <a:r>
                  <a:rPr lang="en-US" altLang="ja-JP">
                    <a:latin typeface="Arial" panose="020B0604020202020204" pitchFamily="34" charset="0"/>
                    <a:cs typeface="Arial" panose="020B0604020202020204" pitchFamily="34" charset="0"/>
                  </a:rPr>
                  <a:t>]</a:t>
                </a:r>
                <a:r>
                  <a:rPr lang="en-US" altLang="ja-JP" baseline="-25000">
                    <a:latin typeface="Arial" panose="020B0604020202020204" pitchFamily="34" charset="0"/>
                    <a:cs typeface="Arial" panose="020B0604020202020204" pitchFamily="34" charset="0"/>
                  </a:rPr>
                  <a:t>0</a:t>
                </a:r>
                <a:r>
                  <a:rPr lang="en-US" altLang="ja-JP">
                    <a:latin typeface="Arial" panose="020B0604020202020204" pitchFamily="34" charset="0"/>
                    <a:cs typeface="Arial" panose="020B0604020202020204" pitchFamily="34" charset="0"/>
                  </a:rPr>
                  <a:t>)</a:t>
                </a:r>
                <a:endParaRPr lang="ja-JP" alt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Red]\(#,##0.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782845944"/>
        <c:crosses val="autoZero"/>
        <c:crossBetween val="midCat"/>
        <c:majorUnit val="0.2"/>
      </c:valAx>
      <c:valAx>
        <c:axId val="782845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ltLang="ja-JP">
                    <a:latin typeface="Arial" panose="020B0604020202020204" pitchFamily="34" charset="0"/>
                    <a:cs typeface="Arial" panose="020B0604020202020204" pitchFamily="34" charset="0"/>
                  </a:rPr>
                  <a:t>-ln([</a:t>
                </a:r>
                <a:r>
                  <a:rPr lang="en-US" altLang="ja-JP" i="1">
                    <a:latin typeface="Arial" panose="020B0604020202020204" pitchFamily="34" charset="0"/>
                    <a:cs typeface="Arial" panose="020B0604020202020204" pitchFamily="34" charset="0"/>
                  </a:rPr>
                  <a:t>A</a:t>
                </a:r>
                <a:r>
                  <a:rPr lang="en-US" altLang="ja-JP" baseline="-25000">
                    <a:latin typeface="Arial" panose="020B0604020202020204" pitchFamily="34" charset="0"/>
                    <a:cs typeface="Arial" panose="020B0604020202020204" pitchFamily="34" charset="0"/>
                  </a:rPr>
                  <a:t>2</a:t>
                </a:r>
                <a:r>
                  <a:rPr lang="en-US" altLang="ja-JP">
                    <a:latin typeface="Arial" panose="020B0604020202020204" pitchFamily="34" charset="0"/>
                    <a:cs typeface="Arial" panose="020B0604020202020204" pitchFamily="34" charset="0"/>
                  </a:rPr>
                  <a:t>]</a:t>
                </a:r>
                <a:r>
                  <a:rPr lang="en-US" altLang="ja-JP" baseline="-25000">
                    <a:latin typeface="Arial" panose="020B0604020202020204" pitchFamily="34" charset="0"/>
                    <a:cs typeface="Arial" panose="020B0604020202020204" pitchFamily="34" charset="0"/>
                  </a:rPr>
                  <a:t>f</a:t>
                </a:r>
                <a:r>
                  <a:rPr lang="en-US" altLang="ja-JP">
                    <a:latin typeface="Arial" panose="020B0604020202020204" pitchFamily="34" charset="0"/>
                    <a:cs typeface="Arial" panose="020B0604020202020204" pitchFamily="34" charset="0"/>
                  </a:rPr>
                  <a:t> / [</a:t>
                </a:r>
                <a:r>
                  <a:rPr lang="en-US" altLang="ja-JP" i="1">
                    <a:latin typeface="Arial" panose="020B0604020202020204" pitchFamily="34" charset="0"/>
                    <a:cs typeface="Arial" panose="020B0604020202020204" pitchFamily="34" charset="0"/>
                  </a:rPr>
                  <a:t>A</a:t>
                </a:r>
                <a:r>
                  <a:rPr lang="en-US" altLang="ja-JP" baseline="-25000">
                    <a:latin typeface="Arial" panose="020B0604020202020204" pitchFamily="34" charset="0"/>
                    <a:cs typeface="Arial" panose="020B0604020202020204" pitchFamily="34" charset="0"/>
                  </a:rPr>
                  <a:t>2</a:t>
                </a:r>
                <a:r>
                  <a:rPr lang="en-US" altLang="ja-JP">
                    <a:latin typeface="Arial" panose="020B0604020202020204" pitchFamily="34" charset="0"/>
                    <a:cs typeface="Arial" panose="020B0604020202020204" pitchFamily="34" charset="0"/>
                  </a:rPr>
                  <a:t>]</a:t>
                </a:r>
                <a:r>
                  <a:rPr lang="en-US" altLang="ja-JP" baseline="-25000">
                    <a:latin typeface="Arial" panose="020B0604020202020204" pitchFamily="34" charset="0"/>
                    <a:cs typeface="Arial" panose="020B0604020202020204" pitchFamily="34" charset="0"/>
                  </a:rPr>
                  <a:t>0</a:t>
                </a:r>
                <a:r>
                  <a:rPr lang="en-US" altLang="ja-JP">
                    <a:latin typeface="Arial" panose="020B0604020202020204" pitchFamily="34" charset="0"/>
                    <a:cs typeface="Arial" panose="020B0604020202020204" pitchFamily="34" charset="0"/>
                  </a:rPr>
                  <a:t>)</a:t>
                </a:r>
                <a:endParaRPr lang="ja-JP" altLang="en-US">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_);[Red]\(#,##0.0\)" sourceLinked="0"/>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782870200"/>
        <c:crosses val="autoZero"/>
        <c:crossBetween val="midCat"/>
      </c:valAx>
      <c:spPr>
        <a:noFill/>
        <a:ln>
          <a:solidFill>
            <a:schemeClr val="bg1">
              <a:lumMod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1"/>
          <c:order val="0"/>
          <c:tx>
            <c:strRef>
              <c:f>diketone_reduction_results!$M$2</c:f>
              <c:strCache>
                <c:ptCount val="1"/>
                <c:pt idx="0">
                  <c:v>2</c:v>
                </c:pt>
              </c:strCache>
            </c:strRef>
          </c:tx>
          <c:spPr>
            <a:ln w="254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olid"/>
              </a:ln>
              <a:effectLst/>
            </c:spPr>
            <c:trendlineType val="poly"/>
            <c:order val="4"/>
            <c:forward val="13"/>
            <c:dispRSqr val="0"/>
            <c:dispEq val="0"/>
          </c:trendline>
          <c:xVal>
            <c:numRef>
              <c:f>diketone_reduction_results!$J$3:$J$34</c:f>
              <c:numCache>
                <c:formatCode>0_ </c:formatCode>
                <c:ptCount val="32"/>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pt idx="31">
                  <c:v>99.5</c:v>
                </c:pt>
              </c:numCache>
            </c:numRef>
          </c:xVal>
          <c:yVal>
            <c:numRef>
              <c:f>diketone_reduction_results!$M$3:$M$34</c:f>
              <c:numCache>
                <c:formatCode>0.00_ </c:formatCode>
                <c:ptCount val="32"/>
                <c:pt idx="0">
                  <c:v>0</c:v>
                </c:pt>
                <c:pt idx="1">
                  <c:v>20.579268292682929</c:v>
                </c:pt>
                <c:pt idx="2">
                  <c:v>36.871508379888269</c:v>
                </c:pt>
                <c:pt idx="3">
                  <c:v>46.082949308755758</c:v>
                </c:pt>
                <c:pt idx="4">
                  <c:v>57.093425605536339</c:v>
                </c:pt>
                <c:pt idx="5">
                  <c:v>62.429378531073439</c:v>
                </c:pt>
                <c:pt idx="6">
                  <c:v>63.307493540051688</c:v>
                </c:pt>
                <c:pt idx="7">
                  <c:v>69.53125</c:v>
                </c:pt>
                <c:pt idx="8">
                  <c:v>84.35294117647058</c:v>
                </c:pt>
                <c:pt idx="9">
                  <c:v>85.374554102259211</c:v>
                </c:pt>
                <c:pt idx="10">
                  <c:v>86.330935251798564</c:v>
                </c:pt>
                <c:pt idx="11">
                  <c:v>86.336154776299878</c:v>
                </c:pt>
                <c:pt idx="12">
                  <c:v>86.142322097378283</c:v>
                </c:pt>
                <c:pt idx="13">
                  <c:v>87.545787545787547</c:v>
                </c:pt>
                <c:pt idx="14">
                  <c:v>87.391841779975294</c:v>
                </c:pt>
                <c:pt idx="15">
                  <c:v>86.956521739130437</c:v>
                </c:pt>
                <c:pt idx="16">
                  <c:v>87.834549878345499</c:v>
                </c:pt>
                <c:pt idx="17">
                  <c:v>86.595174262734588</c:v>
                </c:pt>
                <c:pt idx="18">
                  <c:v>84.635587655942217</c:v>
                </c:pt>
                <c:pt idx="19">
                  <c:v>84.291187739463595</c:v>
                </c:pt>
                <c:pt idx="20">
                  <c:v>83.781362007168454</c:v>
                </c:pt>
                <c:pt idx="21">
                  <c:v>82.371794871794876</c:v>
                </c:pt>
                <c:pt idx="22">
                  <c:v>83.98950131233596</c:v>
                </c:pt>
                <c:pt idx="23">
                  <c:v>84.217506631299742</c:v>
                </c:pt>
                <c:pt idx="24">
                  <c:v>84.836065573770497</c:v>
                </c:pt>
                <c:pt idx="25">
                  <c:v>84.684684684684669</c:v>
                </c:pt>
                <c:pt idx="26">
                  <c:v>82.326283987915403</c:v>
                </c:pt>
                <c:pt idx="27">
                  <c:v>83.922829581993568</c:v>
                </c:pt>
                <c:pt idx="28">
                  <c:v>84.082397003745328</c:v>
                </c:pt>
                <c:pt idx="29">
                  <c:v>81.327800829875514</c:v>
                </c:pt>
                <c:pt idx="30">
                  <c:v>73.913043478260875</c:v>
                </c:pt>
                <c:pt idx="31">
                  <c:v>88</c:v>
                </c:pt>
              </c:numCache>
            </c:numRef>
          </c:yVal>
          <c:smooth val="0"/>
          <c:extLst>
            <c:ext xmlns:c16="http://schemas.microsoft.com/office/drawing/2014/chart" uri="{C3380CC4-5D6E-409C-BE32-E72D297353CC}">
              <c16:uniqueId val="{00000001-B708-4D4F-A1BF-6C35B07B64CF}"/>
            </c:ext>
          </c:extLst>
        </c:ser>
        <c:ser>
          <c:idx val="2"/>
          <c:order val="1"/>
          <c:tx>
            <c:strRef>
              <c:f>diketone_reduction_results!$L$2</c:f>
              <c:strCache>
                <c:ptCount val="1"/>
                <c:pt idx="0">
                  <c:v>1</c:v>
                </c:pt>
              </c:strCache>
            </c:strRef>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olid"/>
              </a:ln>
              <a:effectLst/>
            </c:spPr>
            <c:trendlineType val="linear"/>
            <c:forward val="13"/>
            <c:dispRSqr val="0"/>
            <c:dispEq val="0"/>
          </c:trendline>
          <c:xVal>
            <c:numRef>
              <c:f>diketone_reduction_results!$J$3:$J$34</c:f>
              <c:numCache>
                <c:formatCode>0_ </c:formatCode>
                <c:ptCount val="32"/>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pt idx="31">
                  <c:v>99.5</c:v>
                </c:pt>
              </c:numCache>
            </c:numRef>
          </c:xVal>
          <c:yVal>
            <c:numRef>
              <c:f>diketone_reduction_results!$L$3:$L$34</c:f>
              <c:numCache>
                <c:formatCode>0.00_ </c:formatCode>
                <c:ptCount val="32"/>
                <c:pt idx="0">
                  <c:v>0</c:v>
                </c:pt>
                <c:pt idx="1">
                  <c:v>3.2012195121951219</c:v>
                </c:pt>
                <c:pt idx="2">
                  <c:v>7.2625698324022352</c:v>
                </c:pt>
                <c:pt idx="3">
                  <c:v>7.8341013824884804</c:v>
                </c:pt>
                <c:pt idx="4">
                  <c:v>8.3044982698961949</c:v>
                </c:pt>
                <c:pt idx="5">
                  <c:v>9.3220338983050848</c:v>
                </c:pt>
                <c:pt idx="6">
                  <c:v>10.852713178294573</c:v>
                </c:pt>
                <c:pt idx="7">
                  <c:v>10.937500000000002</c:v>
                </c:pt>
                <c:pt idx="8">
                  <c:v>11.76470588235294</c:v>
                </c:pt>
                <c:pt idx="9">
                  <c:v>11.890606420927467</c:v>
                </c:pt>
                <c:pt idx="10">
                  <c:v>11.990407673860911</c:v>
                </c:pt>
                <c:pt idx="11">
                  <c:v>12.091898428053206</c:v>
                </c:pt>
                <c:pt idx="12">
                  <c:v>12.484394506866417</c:v>
                </c:pt>
                <c:pt idx="13">
                  <c:v>12.210012210012211</c:v>
                </c:pt>
                <c:pt idx="14">
                  <c:v>12.360939431396787</c:v>
                </c:pt>
                <c:pt idx="15">
                  <c:v>13.043478260869565</c:v>
                </c:pt>
                <c:pt idx="16">
                  <c:v>12.165450121654503</c:v>
                </c:pt>
                <c:pt idx="17">
                  <c:v>13.404825737265416</c:v>
                </c:pt>
                <c:pt idx="18">
                  <c:v>15.364412344057779</c:v>
                </c:pt>
                <c:pt idx="19">
                  <c:v>15.708812260536394</c:v>
                </c:pt>
                <c:pt idx="20">
                  <c:v>16.218637992831543</c:v>
                </c:pt>
                <c:pt idx="21">
                  <c:v>17.628205128205128</c:v>
                </c:pt>
                <c:pt idx="22">
                  <c:v>16.01049868766404</c:v>
                </c:pt>
                <c:pt idx="23">
                  <c:v>15.782493368700266</c:v>
                </c:pt>
                <c:pt idx="24">
                  <c:v>15.163934426229508</c:v>
                </c:pt>
                <c:pt idx="25">
                  <c:v>15.315315315315313</c:v>
                </c:pt>
                <c:pt idx="26">
                  <c:v>17.673716012084594</c:v>
                </c:pt>
                <c:pt idx="27">
                  <c:v>16.077170418006432</c:v>
                </c:pt>
                <c:pt idx="28">
                  <c:v>15.917602996254681</c:v>
                </c:pt>
                <c:pt idx="29">
                  <c:v>18.672199170124482</c:v>
                </c:pt>
                <c:pt idx="30">
                  <c:v>26.086956521739129</c:v>
                </c:pt>
                <c:pt idx="31">
                  <c:v>12</c:v>
                </c:pt>
              </c:numCache>
            </c:numRef>
          </c:yVal>
          <c:smooth val="0"/>
          <c:extLst>
            <c:ext xmlns:c16="http://schemas.microsoft.com/office/drawing/2014/chart" uri="{C3380CC4-5D6E-409C-BE32-E72D297353CC}">
              <c16:uniqueId val="{00000002-B708-4D4F-A1BF-6C35B07B64CF}"/>
            </c:ext>
          </c:extLst>
        </c:ser>
        <c:ser>
          <c:idx val="3"/>
          <c:order val="2"/>
          <c:tx>
            <c:strRef>
              <c:f>diketone_reduction_results!$P$2</c:f>
              <c:strCache>
                <c:ptCount val="1"/>
                <c:pt idx="0">
                  <c:v>4</c:v>
                </c:pt>
              </c:strCache>
            </c:strRef>
          </c:tx>
          <c:spPr>
            <a:ln w="25400" cap="rnd">
              <a:noFill/>
              <a:round/>
            </a:ln>
            <a:effectLst/>
          </c:spPr>
          <c:marker>
            <c:symbol val="circle"/>
            <c:size val="5"/>
            <c:spPr>
              <a:solidFill>
                <a:schemeClr val="accent4"/>
              </a:solidFill>
              <a:ln w="9525">
                <a:solidFill>
                  <a:schemeClr val="accent4"/>
                </a:solidFill>
              </a:ln>
              <a:effectLst/>
            </c:spPr>
          </c:marker>
          <c:trendline>
            <c:spPr>
              <a:ln w="19050" cap="rnd">
                <a:solidFill>
                  <a:schemeClr val="accent4"/>
                </a:solidFill>
                <a:prstDash val="solid"/>
              </a:ln>
              <a:effectLst/>
            </c:spPr>
            <c:trendlineType val="poly"/>
            <c:order val="6"/>
            <c:forward val="13"/>
            <c:dispRSqr val="0"/>
            <c:dispEq val="0"/>
          </c:trendline>
          <c:xVal>
            <c:numRef>
              <c:f>diketone_reduction_results!$J$3:$J$33</c:f>
              <c:numCache>
                <c:formatCode>0_ </c:formatCode>
                <c:ptCount val="31"/>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numCache>
            </c:numRef>
          </c:xVal>
          <c:yVal>
            <c:numRef>
              <c:f>diketone_reduction_results!$P$3:$P$33</c:f>
              <c:numCache>
                <c:formatCode>0.00_ </c:formatCode>
                <c:ptCount val="31"/>
                <c:pt idx="0">
                  <c:v>0</c:v>
                </c:pt>
                <c:pt idx="1">
                  <c:v>0</c:v>
                </c:pt>
                <c:pt idx="2">
                  <c:v>0</c:v>
                </c:pt>
                <c:pt idx="3">
                  <c:v>0</c:v>
                </c:pt>
                <c:pt idx="4">
                  <c:v>0</c:v>
                </c:pt>
                <c:pt idx="5">
                  <c:v>0</c:v>
                </c:pt>
                <c:pt idx="6">
                  <c:v>0</c:v>
                </c:pt>
                <c:pt idx="7">
                  <c:v>0</c:v>
                </c:pt>
                <c:pt idx="8">
                  <c:v>2.3529411764705883</c:v>
                </c:pt>
                <c:pt idx="9">
                  <c:v>2.8894173602853743</c:v>
                </c:pt>
                <c:pt idx="10">
                  <c:v>2.6618705035971226</c:v>
                </c:pt>
                <c:pt idx="11">
                  <c:v>2.8053204353083436</c:v>
                </c:pt>
                <c:pt idx="12">
                  <c:v>2.8464419475655434</c:v>
                </c:pt>
                <c:pt idx="13">
                  <c:v>3.2478632478632483</c:v>
                </c:pt>
                <c:pt idx="14">
                  <c:v>3.4363411619283064</c:v>
                </c:pt>
                <c:pt idx="15">
                  <c:v>3.2173913043478262</c:v>
                </c:pt>
                <c:pt idx="16">
                  <c:v>3.9172749391727497</c:v>
                </c:pt>
                <c:pt idx="17">
                  <c:v>4.3565683646112605</c:v>
                </c:pt>
                <c:pt idx="18">
                  <c:v>6.5659881812212735</c:v>
                </c:pt>
                <c:pt idx="19">
                  <c:v>7.6628352490421454</c:v>
                </c:pt>
                <c:pt idx="20">
                  <c:v>8.9605734767025087</c:v>
                </c:pt>
                <c:pt idx="21">
                  <c:v>10.683760683760685</c:v>
                </c:pt>
                <c:pt idx="22">
                  <c:v>13.123359580052494</c:v>
                </c:pt>
                <c:pt idx="23">
                  <c:v>13.262599469496022</c:v>
                </c:pt>
                <c:pt idx="24">
                  <c:v>13.661202185792348</c:v>
                </c:pt>
                <c:pt idx="25">
                  <c:v>15.015015015015015</c:v>
                </c:pt>
                <c:pt idx="26">
                  <c:v>15.105740181268882</c:v>
                </c:pt>
                <c:pt idx="27">
                  <c:v>16.077170418006432</c:v>
                </c:pt>
                <c:pt idx="28">
                  <c:v>18.726591760299627</c:v>
                </c:pt>
                <c:pt idx="29">
                  <c:v>41.493775933609953</c:v>
                </c:pt>
                <c:pt idx="30">
                  <c:v>86.956521739130437</c:v>
                </c:pt>
              </c:numCache>
            </c:numRef>
          </c:yVal>
          <c:smooth val="0"/>
          <c:extLst>
            <c:ext xmlns:c16="http://schemas.microsoft.com/office/drawing/2014/chart" uri="{C3380CC4-5D6E-409C-BE32-E72D297353CC}">
              <c16:uniqueId val="{00000003-B708-4D4F-A1BF-6C35B07B64CF}"/>
            </c:ext>
          </c:extLst>
        </c:ser>
        <c:ser>
          <c:idx val="4"/>
          <c:order val="3"/>
          <c:tx>
            <c:strRef>
              <c:f>diketone_reduction_results!$O$2</c:f>
              <c:strCache>
                <c:ptCount val="1"/>
                <c:pt idx="0">
                  <c:v>3</c:v>
                </c:pt>
              </c:strCache>
            </c:strRef>
          </c:tx>
          <c:spPr>
            <a:ln w="25400" cap="rnd">
              <a:noFill/>
              <a:round/>
            </a:ln>
            <a:effectLst/>
          </c:spPr>
          <c:marker>
            <c:symbol val="circle"/>
            <c:size val="5"/>
            <c:spPr>
              <a:solidFill>
                <a:schemeClr val="accent5"/>
              </a:solidFill>
              <a:ln w="9525">
                <a:solidFill>
                  <a:schemeClr val="accent5"/>
                </a:solidFill>
              </a:ln>
              <a:effectLst/>
            </c:spPr>
          </c:marker>
          <c:trendline>
            <c:spPr>
              <a:ln w="19050" cap="rnd">
                <a:solidFill>
                  <a:schemeClr val="accent5"/>
                </a:solidFill>
                <a:prstDash val="solid"/>
              </a:ln>
              <a:effectLst/>
            </c:spPr>
            <c:trendlineType val="poly"/>
            <c:order val="6"/>
            <c:dispRSqr val="0"/>
            <c:dispEq val="0"/>
          </c:trendline>
          <c:xVal>
            <c:numRef>
              <c:f>diketone_reduction_results!$J$3:$J$33</c:f>
              <c:numCache>
                <c:formatCode>0_ </c:formatCode>
                <c:ptCount val="31"/>
                <c:pt idx="0">
                  <c:v>0</c:v>
                </c:pt>
                <c:pt idx="1">
                  <c:v>11.890243902439025</c:v>
                </c:pt>
                <c:pt idx="2">
                  <c:v>22.067039106145245</c:v>
                </c:pt>
                <c:pt idx="3">
                  <c:v>26.958525345622121</c:v>
                </c:pt>
                <c:pt idx="4">
                  <c:v>32.698961937716263</c:v>
                </c:pt>
                <c:pt idx="5">
                  <c:v>35.875706214689259</c:v>
                </c:pt>
                <c:pt idx="6">
                  <c:v>37.08010335917313</c:v>
                </c:pt>
                <c:pt idx="7">
                  <c:v>40.234375</c:v>
                </c:pt>
                <c:pt idx="8">
                  <c:v>49.366013071895424</c:v>
                </c:pt>
                <c:pt idx="9">
                  <c:v>50.237812128418547</c:v>
                </c:pt>
                <c:pt idx="10">
                  <c:v>50.639488409272587</c:v>
                </c:pt>
                <c:pt idx="11">
                  <c:v>50.772537955125621</c:v>
                </c:pt>
                <c:pt idx="12">
                  <c:v>50.894714939658762</c:v>
                </c:pt>
                <c:pt idx="13">
                  <c:v>51.682268348935018</c:v>
                </c:pt>
                <c:pt idx="14">
                  <c:v>51.785469028979534</c:v>
                </c:pt>
                <c:pt idx="15">
                  <c:v>51.787439613526573</c:v>
                </c:pt>
                <c:pt idx="16">
                  <c:v>52.176263855095975</c:v>
                </c:pt>
                <c:pt idx="17">
                  <c:v>52.420315758117368</c:v>
                </c:pt>
                <c:pt idx="18">
                  <c:v>53.647771211789596</c:v>
                </c:pt>
                <c:pt idx="19">
                  <c:v>54.257130693912302</c:v>
                </c:pt>
                <c:pt idx="20">
                  <c:v>54.978096375945839</c:v>
                </c:pt>
                <c:pt idx="21">
                  <c:v>55.935422602089268</c:v>
                </c:pt>
                <c:pt idx="22">
                  <c:v>57.290755322251385</c:v>
                </c:pt>
                <c:pt idx="23">
                  <c:v>57.368110816386675</c:v>
                </c:pt>
                <c:pt idx="24">
                  <c:v>57.589556769884638</c:v>
                </c:pt>
                <c:pt idx="25">
                  <c:v>58.341675008341674</c:v>
                </c:pt>
                <c:pt idx="26">
                  <c:v>58.392077878482709</c:v>
                </c:pt>
                <c:pt idx="27">
                  <c:v>58.931761343336909</c:v>
                </c:pt>
                <c:pt idx="28">
                  <c:v>60.403662089055345</c:v>
                </c:pt>
                <c:pt idx="29">
                  <c:v>73.052097740894425</c:v>
                </c:pt>
                <c:pt idx="30">
                  <c:v>98.309178743961354</c:v>
                </c:pt>
              </c:numCache>
            </c:numRef>
          </c:xVal>
          <c:yVal>
            <c:numRef>
              <c:f>diketone_reduction_results!$O$3:$O$33</c:f>
              <c:numCache>
                <c:formatCode>0.00_ </c:formatCode>
                <c:ptCount val="31"/>
                <c:pt idx="0">
                  <c:v>0</c:v>
                </c:pt>
                <c:pt idx="1">
                  <c:v>0</c:v>
                </c:pt>
                <c:pt idx="2">
                  <c:v>0</c:v>
                </c:pt>
                <c:pt idx="3">
                  <c:v>0</c:v>
                </c:pt>
                <c:pt idx="4">
                  <c:v>0</c:v>
                </c:pt>
                <c:pt idx="5">
                  <c:v>0</c:v>
                </c:pt>
                <c:pt idx="6">
                  <c:v>0</c:v>
                </c:pt>
                <c:pt idx="7">
                  <c:v>0</c:v>
                </c:pt>
                <c:pt idx="8">
                  <c:v>0.26143790849673204</c:v>
                </c:pt>
                <c:pt idx="9">
                  <c:v>0.3210463733650416</c:v>
                </c:pt>
                <c:pt idx="10">
                  <c:v>0.29576338928856916</c:v>
                </c:pt>
                <c:pt idx="11">
                  <c:v>0.31170227058981592</c:v>
                </c:pt>
                <c:pt idx="12">
                  <c:v>0.3162713275072826</c:v>
                </c:pt>
                <c:pt idx="13">
                  <c:v>0.36087369420702758</c:v>
                </c:pt>
                <c:pt idx="14">
                  <c:v>0.3818156846587008</c:v>
                </c:pt>
                <c:pt idx="15">
                  <c:v>0.35748792270531399</c:v>
                </c:pt>
                <c:pt idx="16">
                  <c:v>0.43525277101919446</c:v>
                </c:pt>
                <c:pt idx="17">
                  <c:v>0.48406315162347335</c:v>
                </c:pt>
                <c:pt idx="18">
                  <c:v>0.72955424235791932</c:v>
                </c:pt>
                <c:pt idx="19">
                  <c:v>0.85142613878246043</c:v>
                </c:pt>
                <c:pt idx="20">
                  <c:v>0.99561927518916771</c:v>
                </c:pt>
                <c:pt idx="21">
                  <c:v>1.1870845204178537</c:v>
                </c:pt>
                <c:pt idx="22">
                  <c:v>1.4581510644502769</c:v>
                </c:pt>
                <c:pt idx="23">
                  <c:v>1.4736221632773356</c:v>
                </c:pt>
                <c:pt idx="24">
                  <c:v>1.5179113539769276</c:v>
                </c:pt>
                <c:pt idx="25">
                  <c:v>1.6683350016683349</c:v>
                </c:pt>
                <c:pt idx="26">
                  <c:v>1.6784155756965422</c:v>
                </c:pt>
                <c:pt idx="27">
                  <c:v>1.7863522686673812</c:v>
                </c:pt>
                <c:pt idx="28">
                  <c:v>2.0807324178110695</c:v>
                </c:pt>
                <c:pt idx="29">
                  <c:v>4.6104195481788839</c:v>
                </c:pt>
                <c:pt idx="30">
                  <c:v>9.6618357487922708</c:v>
                </c:pt>
              </c:numCache>
            </c:numRef>
          </c:yVal>
          <c:smooth val="0"/>
          <c:extLst>
            <c:ext xmlns:c16="http://schemas.microsoft.com/office/drawing/2014/chart" uri="{C3380CC4-5D6E-409C-BE32-E72D297353CC}">
              <c16:uniqueId val="{00000001-D2E5-434B-ADF8-914B34775DED}"/>
            </c:ext>
          </c:extLst>
        </c:ser>
        <c:dLbls>
          <c:showLegendKey val="0"/>
          <c:showVal val="0"/>
          <c:showCatName val="0"/>
          <c:showSerName val="0"/>
          <c:showPercent val="0"/>
          <c:showBubbleSize val="0"/>
        </c:dLbls>
        <c:axId val="1120622848"/>
        <c:axId val="1185228048"/>
      </c:scatterChart>
      <c:valAx>
        <c:axId val="1120622848"/>
        <c:scaling>
          <c:orientation val="minMax"/>
          <c:max val="100"/>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reaction proceed [%]</a:t>
                </a:r>
                <a:endParaRPr lang="ja-JP"/>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_ "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185228048"/>
        <c:crossesAt val="0"/>
        <c:crossBetween val="midCat"/>
      </c:valAx>
      <c:valAx>
        <c:axId val="1185228048"/>
        <c:scaling>
          <c:orientation val="minMax"/>
          <c:max val="100"/>
          <c:min val="0"/>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rate [%]</a:t>
                </a:r>
                <a:endParaRPr lang="ja-JP"/>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title>
        <c:numFmt formatCode="0.00_ " sourceLinked="1"/>
        <c:majorTickMark val="in"/>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crossAx val="1120622848"/>
        <c:crosses val="autoZero"/>
        <c:crossBetween val="midCat"/>
        <c:majorUnit val="20"/>
      </c:valAx>
      <c:spPr>
        <a:noFill/>
        <a:ln>
          <a:solidFill>
            <a:schemeClr val="bg1">
              <a:lumMod val="75000"/>
            </a:schemeClr>
          </a:solidFill>
        </a:ln>
        <a:effectLst/>
      </c:spPr>
    </c:plotArea>
    <c:legend>
      <c:legendPos val="b"/>
      <c:legendEntry>
        <c:idx val="4"/>
        <c:delete val="1"/>
      </c:legendEntry>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ja-JP"/>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latin typeface="Arial" panose="020B0604020202020204" pitchFamily="34" charset="0"/>
          <a:cs typeface="Arial" panose="020B0604020202020204" pitchFamily="34" charset="0"/>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17</xdr:col>
      <xdr:colOff>506750</xdr:colOff>
      <xdr:row>111</xdr:row>
      <xdr:rowOff>148189</xdr:rowOff>
    </xdr:from>
    <xdr:to>
      <xdr:col>24</xdr:col>
      <xdr:colOff>276937</xdr:colOff>
      <xdr:row>129</xdr:row>
      <xdr:rowOff>56163</xdr:rowOff>
    </xdr:to>
    <xdr:graphicFrame macro="">
      <xdr:nvGraphicFramePr>
        <xdr:cNvPr id="2" name="グラフ 1">
          <a:extLst>
            <a:ext uri="{FF2B5EF4-FFF2-40B4-BE49-F238E27FC236}">
              <a16:creationId xmlns:a16="http://schemas.microsoft.com/office/drawing/2014/main" id="{F828D972-174B-F919-8871-E306BDF42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300704</xdr:colOff>
      <xdr:row>175</xdr:row>
      <xdr:rowOff>39170</xdr:rowOff>
    </xdr:from>
    <xdr:to>
      <xdr:col>27</xdr:col>
      <xdr:colOff>80227</xdr:colOff>
      <xdr:row>197</xdr:row>
      <xdr:rowOff>32701</xdr:rowOff>
    </xdr:to>
    <xdr:graphicFrame macro="">
      <xdr:nvGraphicFramePr>
        <xdr:cNvPr id="3" name="グラフ 1">
          <a:extLst>
            <a:ext uri="{FF2B5EF4-FFF2-40B4-BE49-F238E27FC236}">
              <a16:creationId xmlns:a16="http://schemas.microsoft.com/office/drawing/2014/main" id="{D0AD9E70-7645-7CF5-AD15-408CC367B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156334</xdr:colOff>
      <xdr:row>215</xdr:row>
      <xdr:rowOff>87731</xdr:rowOff>
    </xdr:from>
    <xdr:to>
      <xdr:col>24</xdr:col>
      <xdr:colOff>125330</xdr:colOff>
      <xdr:row>231</xdr:row>
      <xdr:rowOff>124539</xdr:rowOff>
    </xdr:to>
    <xdr:graphicFrame macro="">
      <xdr:nvGraphicFramePr>
        <xdr:cNvPr id="2" name="グラフ 1">
          <a:extLst>
            <a:ext uri="{FF2B5EF4-FFF2-40B4-BE49-F238E27FC236}">
              <a16:creationId xmlns:a16="http://schemas.microsoft.com/office/drawing/2014/main" id="{24B8FBD5-1E24-DC17-61EF-BD51F9B95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288638</xdr:colOff>
      <xdr:row>216</xdr:row>
      <xdr:rowOff>0</xdr:rowOff>
    </xdr:from>
    <xdr:to>
      <xdr:col>29</xdr:col>
      <xdr:colOff>263192</xdr:colOff>
      <xdr:row>231</xdr:row>
      <xdr:rowOff>84851</xdr:rowOff>
    </xdr:to>
    <xdr:graphicFrame macro="">
      <xdr:nvGraphicFramePr>
        <xdr:cNvPr id="4" name="グラフ 3">
          <a:extLst>
            <a:ext uri="{FF2B5EF4-FFF2-40B4-BE49-F238E27FC236}">
              <a16:creationId xmlns:a16="http://schemas.microsoft.com/office/drawing/2014/main" id="{60603A2E-C627-8C38-6CC8-2CB66E6BA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451907</xdr:colOff>
      <xdr:row>371</xdr:row>
      <xdr:rowOff>0</xdr:rowOff>
    </xdr:from>
    <xdr:to>
      <xdr:col>26</xdr:col>
      <xdr:colOff>203119</xdr:colOff>
      <xdr:row>382</xdr:row>
      <xdr:rowOff>19383</xdr:rowOff>
    </xdr:to>
    <xdr:graphicFrame macro="">
      <xdr:nvGraphicFramePr>
        <xdr:cNvPr id="5" name="グラフ 4">
          <a:extLst>
            <a:ext uri="{FF2B5EF4-FFF2-40B4-BE49-F238E27FC236}">
              <a16:creationId xmlns:a16="http://schemas.microsoft.com/office/drawing/2014/main" id="{3C4CC919-D249-2573-948D-99E075E11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593420</xdr:colOff>
      <xdr:row>158</xdr:row>
      <xdr:rowOff>108100</xdr:rowOff>
    </xdr:from>
    <xdr:to>
      <xdr:col>25</xdr:col>
      <xdr:colOff>241707</xdr:colOff>
      <xdr:row>174</xdr:row>
      <xdr:rowOff>101616</xdr:rowOff>
    </xdr:to>
    <xdr:graphicFrame macro="">
      <xdr:nvGraphicFramePr>
        <xdr:cNvPr id="6" name="グラフ 5">
          <a:extLst>
            <a:ext uri="{FF2B5EF4-FFF2-40B4-BE49-F238E27FC236}">
              <a16:creationId xmlns:a16="http://schemas.microsoft.com/office/drawing/2014/main" id="{EE9820A3-9B87-8996-923E-0C08E6031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17</xdr:col>
      <xdr:colOff>230236</xdr:colOff>
      <xdr:row>2</xdr:row>
      <xdr:rowOff>162406</xdr:rowOff>
    </xdr:from>
    <xdr:to>
      <xdr:col>24</xdr:col>
      <xdr:colOff>103170</xdr:colOff>
      <xdr:row>23</xdr:row>
      <xdr:rowOff>71841</xdr:rowOff>
    </xdr:to>
    <xdr:graphicFrame macro="">
      <xdr:nvGraphicFramePr>
        <xdr:cNvPr id="4" name="グラフ 2">
          <a:extLst>
            <a:ext uri="{FF2B5EF4-FFF2-40B4-BE49-F238E27FC236}">
              <a16:creationId xmlns:a16="http://schemas.microsoft.com/office/drawing/2014/main" id="{D148F0DE-7C0E-08FA-2715-0B2D12322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BE336-2FBF-4052-A35F-ED87DD470E64}">
  <dimension ref="A1:Z169"/>
  <sheetViews>
    <sheetView tabSelected="1" zoomScale="90" zoomScaleNormal="57" workbookViewId="0">
      <pane xSplit="4" ySplit="2" topLeftCell="E72" activePane="bottomRight" state="frozen"/>
      <selection pane="topRight" activeCell="B1" sqref="B1"/>
      <selection pane="bottomLeft" activeCell="A3" sqref="A3"/>
      <selection pane="bottomRight" activeCell="G80" sqref="G80"/>
    </sheetView>
  </sheetViews>
  <sheetFormatPr baseColWidth="10" defaultColWidth="9" defaultRowHeight="13"/>
  <cols>
    <col min="1" max="1" width="5.83203125" style="81" customWidth="1"/>
    <col min="2" max="3" width="9" style="81"/>
    <col min="4" max="4" width="25.83203125" style="81" customWidth="1"/>
    <col min="5" max="5" width="15.1640625" style="2" customWidth="1"/>
    <col min="6" max="6" width="12" style="2" customWidth="1"/>
    <col min="7" max="7" width="26.6640625" style="2" customWidth="1"/>
    <col min="8" max="8" width="12.1640625" style="1" bestFit="1" customWidth="1"/>
    <col min="9" max="9" width="7.83203125" style="3" bestFit="1" customWidth="1"/>
    <col min="10" max="10" width="8.6640625" style="3" customWidth="1"/>
    <col min="11" max="11" width="6" style="3" bestFit="1" customWidth="1"/>
    <col min="12" max="12" width="7" style="3" customWidth="1"/>
    <col min="13" max="13" width="7.6640625" style="3" customWidth="1"/>
    <col min="14" max="14" width="6.1640625" style="3" bestFit="1" customWidth="1"/>
    <col min="15" max="15" width="24.5" style="3" bestFit="1" customWidth="1"/>
    <col min="16" max="16" width="6.1640625" style="3" bestFit="1" customWidth="1"/>
    <col min="17" max="17" width="9.1640625" style="3" bestFit="1" customWidth="1"/>
    <col min="18" max="18" width="9.1640625" style="3" customWidth="1"/>
    <col min="19" max="19" width="9.1640625" style="5" customWidth="1"/>
    <col min="20" max="21" width="9" style="3"/>
    <col min="22" max="22" width="16.1640625" style="2" customWidth="1"/>
    <col min="23" max="16384" width="9" style="2"/>
  </cols>
  <sheetData>
    <row r="1" spans="1:25" s="81" customFormat="1" ht="18.75" customHeight="1">
      <c r="D1" s="81" t="s">
        <v>0</v>
      </c>
      <c r="F1" s="81" t="s">
        <v>1</v>
      </c>
      <c r="G1" s="81" t="s">
        <v>2</v>
      </c>
      <c r="H1" s="86"/>
      <c r="I1" s="159" t="s">
        <v>3</v>
      </c>
      <c r="J1" s="159"/>
      <c r="K1" s="159"/>
      <c r="L1" s="159" t="s">
        <v>4</v>
      </c>
      <c r="M1" s="159"/>
      <c r="N1" s="159" t="s">
        <v>5</v>
      </c>
      <c r="O1" s="159"/>
      <c r="P1" s="159"/>
      <c r="Q1" s="159"/>
      <c r="R1" s="159"/>
      <c r="S1" s="159"/>
      <c r="T1" s="88" t="s">
        <v>6</v>
      </c>
      <c r="U1" s="81" t="s">
        <v>7</v>
      </c>
      <c r="V1" s="160" t="s">
        <v>8</v>
      </c>
      <c r="W1" s="160"/>
    </row>
    <row r="2" spans="1:25" s="81" customFormat="1">
      <c r="A2" s="81" t="s">
        <v>9</v>
      </c>
      <c r="B2" s="81" t="s">
        <v>10</v>
      </c>
      <c r="C2" s="81" t="s">
        <v>11</v>
      </c>
      <c r="D2" s="81" t="s">
        <v>12</v>
      </c>
      <c r="E2" s="81" t="s">
        <v>13</v>
      </c>
      <c r="F2" s="81" t="s">
        <v>14</v>
      </c>
      <c r="G2" s="81" t="s">
        <v>15</v>
      </c>
      <c r="H2" s="86" t="s">
        <v>16</v>
      </c>
      <c r="I2" s="88" t="s">
        <v>17</v>
      </c>
      <c r="J2" s="88" t="s">
        <v>18</v>
      </c>
      <c r="K2" s="88" t="s">
        <v>19</v>
      </c>
      <c r="L2" s="88" t="s">
        <v>17</v>
      </c>
      <c r="M2" s="88" t="s">
        <v>19</v>
      </c>
      <c r="N2" s="88" t="s">
        <v>17</v>
      </c>
      <c r="O2" s="88" t="s">
        <v>18</v>
      </c>
      <c r="P2" s="88" t="s">
        <v>19</v>
      </c>
      <c r="Q2" s="88" t="s">
        <v>20</v>
      </c>
      <c r="R2" s="88" t="s">
        <v>21</v>
      </c>
      <c r="S2" s="89" t="s">
        <v>22</v>
      </c>
      <c r="T2" s="88" t="s">
        <v>23</v>
      </c>
      <c r="U2" s="88" t="s">
        <v>24</v>
      </c>
      <c r="V2" s="81" t="s">
        <v>25</v>
      </c>
      <c r="W2" s="81" t="s">
        <v>26</v>
      </c>
      <c r="X2" s="81" t="s">
        <v>27</v>
      </c>
      <c r="Y2" s="81" t="s">
        <v>28</v>
      </c>
    </row>
    <row r="3" spans="1:25">
      <c r="A3" s="81" t="s">
        <v>29</v>
      </c>
      <c r="B3" s="81" t="s">
        <v>30</v>
      </c>
      <c r="C3" s="81" t="s">
        <v>31</v>
      </c>
      <c r="D3" s="81" t="str">
        <f>'A1 = fluorenone'!A3</f>
        <v>1-chloropinacolin</v>
      </c>
      <c r="E3" s="2" t="s">
        <v>32</v>
      </c>
      <c r="F3" s="1">
        <v>0</v>
      </c>
      <c r="G3" s="2" t="s">
        <v>33</v>
      </c>
      <c r="H3" s="1">
        <v>273</v>
      </c>
      <c r="I3" s="3">
        <f>'A1 = fluorenone'!Q3</f>
        <v>-0.85181054632967967</v>
      </c>
      <c r="J3" s="3">
        <f t="shared" ref="J3:J18" si="0">I3+$L$22</f>
        <v>-2.6011302940242405</v>
      </c>
      <c r="K3" s="3">
        <f>'A1 = fluorenone'!R3</f>
        <v>1.3977078925246912E-2</v>
      </c>
      <c r="L3" s="6">
        <f>'A1 = benzophenone'!Q34</f>
        <v>-2.1120316797059648</v>
      </c>
      <c r="M3" s="6">
        <f>'A1 = benzophenone'!$R$34</f>
        <v>0.1290307469712732</v>
      </c>
      <c r="N3" s="9"/>
      <c r="O3" s="9"/>
      <c r="P3" s="9"/>
      <c r="Q3" s="3">
        <f>J3</f>
        <v>-2.6011302940242405</v>
      </c>
      <c r="R3" s="3">
        <f>K3</f>
        <v>1.3977078925246912E-2</v>
      </c>
      <c r="S3" s="5">
        <f t="shared" ref="S3:S38" si="1">EXP(-Q3/1.99/H3*1000)</f>
        <v>120.05073796908776</v>
      </c>
      <c r="T3" s="9"/>
      <c r="U3" s="9"/>
      <c r="V3" s="2" t="s">
        <v>34</v>
      </c>
      <c r="W3" s="12" t="s">
        <v>35</v>
      </c>
      <c r="X3" s="2" t="s">
        <v>36</v>
      </c>
    </row>
    <row r="4" spans="1:25">
      <c r="A4" s="81" t="s">
        <v>37</v>
      </c>
      <c r="B4" s="81" t="s">
        <v>38</v>
      </c>
      <c r="C4" s="81" t="s">
        <v>39</v>
      </c>
      <c r="D4" s="81" t="str">
        <f>'A1 = fluorenone'!A8</f>
        <v>2,2,2-trifluoroacetophenone</v>
      </c>
      <c r="E4" s="2" t="s">
        <v>40</v>
      </c>
      <c r="F4" s="1">
        <v>0</v>
      </c>
      <c r="G4" s="2" t="s">
        <v>41</v>
      </c>
      <c r="H4" s="1">
        <v>273</v>
      </c>
      <c r="I4" s="3">
        <f>'A1 = fluorenone'!Q8</f>
        <v>-0.57734172721296162</v>
      </c>
      <c r="J4" s="3">
        <f t="shared" si="0"/>
        <v>-2.3266614749075223</v>
      </c>
      <c r="K4" s="3">
        <f>'A1 = fluorenone'!R8</f>
        <v>6.2382413760080413E-2</v>
      </c>
      <c r="L4" s="9"/>
      <c r="M4" s="9"/>
      <c r="N4" s="9"/>
      <c r="O4" s="9"/>
      <c r="P4" s="9"/>
      <c r="Q4" s="3">
        <f t="shared" ref="Q4:Q18" si="2">J4</f>
        <v>-2.3266614749075223</v>
      </c>
      <c r="R4" s="3">
        <f t="shared" ref="R4:R18" si="3">K4</f>
        <v>6.2382413760080413E-2</v>
      </c>
      <c r="S4" s="5">
        <f t="shared" si="1"/>
        <v>72.435625537109374</v>
      </c>
      <c r="T4" s="9"/>
      <c r="U4" s="9"/>
      <c r="V4" s="2" t="s">
        <v>42</v>
      </c>
      <c r="W4" s="12" t="s">
        <v>43</v>
      </c>
      <c r="X4" s="2" t="s">
        <v>36</v>
      </c>
    </row>
    <row r="5" spans="1:25" s="112" customFormat="1">
      <c r="A5" s="111" t="s">
        <v>921</v>
      </c>
      <c r="B5" s="111" t="s">
        <v>462</v>
      </c>
      <c r="C5" s="111" t="s">
        <v>873</v>
      </c>
      <c r="D5" s="111" t="str">
        <f>'A1 = fluorenone'!A13</f>
        <v>1,4-Cyclohexanedion monoethyleneketal</v>
      </c>
      <c r="F5" s="113">
        <v>0</v>
      </c>
      <c r="G5" s="112" t="s">
        <v>887</v>
      </c>
      <c r="H5" s="113">
        <v>273</v>
      </c>
      <c r="I5" s="115">
        <f>'A1 = fluorenone'!Q13</f>
        <v>-0.51730458580992977</v>
      </c>
      <c r="J5" s="115">
        <f t="shared" si="0"/>
        <v>-2.2666243335044904</v>
      </c>
      <c r="K5" s="115">
        <f>'A1 = fluorenone'!R13</f>
        <v>9.0008289491265991E-3</v>
      </c>
      <c r="L5" s="115"/>
      <c r="M5" s="115"/>
      <c r="N5" s="114"/>
      <c r="O5" s="114"/>
      <c r="P5" s="114"/>
      <c r="Q5" s="115">
        <f>J5</f>
        <v>-2.2666243335044904</v>
      </c>
      <c r="R5" s="115">
        <f>K5</f>
        <v>9.0008289491265991E-3</v>
      </c>
      <c r="S5" s="116">
        <f>EXP(-Q5/1.99/H5*1000)</f>
        <v>64.857175735419744</v>
      </c>
      <c r="T5" s="114"/>
      <c r="U5" s="114"/>
      <c r="V5" s="117" t="s">
        <v>463</v>
      </c>
      <c r="W5" s="117" t="s">
        <v>464</v>
      </c>
      <c r="X5" s="112" t="s">
        <v>36</v>
      </c>
    </row>
    <row r="6" spans="1:25" s="112" customFormat="1">
      <c r="A6" s="111" t="s">
        <v>913</v>
      </c>
      <c r="B6" s="111" t="s">
        <v>915</v>
      </c>
      <c r="C6" s="111" t="s">
        <v>916</v>
      </c>
      <c r="D6" s="111" t="str">
        <f>'A1 = fluorenone'!A23</f>
        <v>2-methylcyclohexanone(trans)</v>
      </c>
      <c r="E6" s="112" t="s">
        <v>47</v>
      </c>
      <c r="F6" s="113">
        <v>0</v>
      </c>
      <c r="G6" s="112" t="s">
        <v>906</v>
      </c>
      <c r="H6" s="113">
        <v>273</v>
      </c>
      <c r="I6" s="115">
        <f>'A1 = fluorenone'!Q23</f>
        <v>-0.52851760929637237</v>
      </c>
      <c r="J6" s="115">
        <f t="shared" si="0"/>
        <v>-2.2778373569909331</v>
      </c>
      <c r="K6" s="115">
        <f>'A1 = fluorenone'!R23</f>
        <v>3.059936275596116E-2</v>
      </c>
      <c r="L6" s="115"/>
      <c r="M6" s="115"/>
      <c r="N6" s="114"/>
      <c r="O6" s="114"/>
      <c r="P6" s="114"/>
      <c r="Q6" s="115">
        <f t="shared" ref="Q6:Q7" si="4">J6</f>
        <v>-2.2778373569909331</v>
      </c>
      <c r="R6" s="115">
        <f t="shared" ref="R6:R7" si="5">K6</f>
        <v>3.059936275596116E-2</v>
      </c>
      <c r="S6" s="116">
        <f t="shared" ref="S6:S7" si="6">EXP(-Q6/1.99/H6*1000)</f>
        <v>66.209729823833243</v>
      </c>
      <c r="T6" s="146"/>
      <c r="U6" s="114"/>
      <c r="V6" s="112" t="s">
        <v>917</v>
      </c>
      <c r="W6" s="112" t="s">
        <v>919</v>
      </c>
      <c r="X6" s="112" t="s">
        <v>36</v>
      </c>
    </row>
    <row r="7" spans="1:25" s="112" customFormat="1">
      <c r="A7" s="111" t="s">
        <v>914</v>
      </c>
      <c r="B7" s="111" t="s">
        <v>915</v>
      </c>
      <c r="C7" s="111" t="s">
        <v>916</v>
      </c>
      <c r="D7" s="111" t="str">
        <f>'A1 = fluorenone'!A24</f>
        <v>2-methylcyclohexanone(cis)</v>
      </c>
      <c r="E7" s="112" t="s">
        <v>47</v>
      </c>
      <c r="F7" s="113">
        <v>0</v>
      </c>
      <c r="G7" s="112" t="s">
        <v>905</v>
      </c>
      <c r="H7" s="113">
        <v>273</v>
      </c>
      <c r="I7" s="115">
        <f>'A1 = fluorenone'!Q24</f>
        <v>-0.19387865224488063</v>
      </c>
      <c r="J7" s="115">
        <f t="shared" si="0"/>
        <v>-1.9431983999394413</v>
      </c>
      <c r="K7" s="115">
        <f>'A1 = fluorenone'!R24</f>
        <v>5.4387204271177277E-2</v>
      </c>
      <c r="L7" s="115"/>
      <c r="M7" s="115"/>
      <c r="N7" s="114"/>
      <c r="O7" s="114"/>
      <c r="P7" s="114"/>
      <c r="Q7" s="115">
        <f t="shared" si="4"/>
        <v>-1.9431983999394413</v>
      </c>
      <c r="R7" s="115">
        <f t="shared" si="5"/>
        <v>5.4387204271177277E-2</v>
      </c>
      <c r="S7" s="116">
        <f t="shared" si="6"/>
        <v>35.760921071102622</v>
      </c>
      <c r="T7" s="146"/>
      <c r="U7" s="114"/>
      <c r="V7" s="112" t="s">
        <v>917</v>
      </c>
      <c r="W7" s="112" t="s">
        <v>918</v>
      </c>
      <c r="X7" s="112" t="s">
        <v>36</v>
      </c>
    </row>
    <row r="8" spans="1:25" s="112" customFormat="1">
      <c r="A8" s="111" t="s">
        <v>920</v>
      </c>
      <c r="B8" s="111" t="s">
        <v>449</v>
      </c>
      <c r="C8" s="111" t="s">
        <v>450</v>
      </c>
      <c r="D8" s="111" t="str">
        <f>'A1 = fluorenone'!A25</f>
        <v>Benzoylacetonitrile</v>
      </c>
      <c r="F8" s="138">
        <v>0</v>
      </c>
      <c r="G8" s="112" t="s">
        <v>895</v>
      </c>
      <c r="H8" s="113">
        <v>273</v>
      </c>
      <c r="I8" s="115">
        <f>'A1 = fluorenone'!Q25</f>
        <v>-0.36363980357433884</v>
      </c>
      <c r="J8" s="115">
        <f t="shared" si="0"/>
        <v>-2.1129595512688994</v>
      </c>
      <c r="K8" s="6">
        <f>'A1 = fluorenone'!R25</f>
        <v>1.4362019353476479E-2</v>
      </c>
      <c r="L8" s="115"/>
      <c r="M8" s="115"/>
      <c r="N8" s="114"/>
      <c r="O8" s="114"/>
      <c r="P8" s="114"/>
      <c r="Q8" s="115">
        <f>J8</f>
        <v>-2.1129595512688994</v>
      </c>
      <c r="R8" s="115">
        <f>M8</f>
        <v>0</v>
      </c>
      <c r="S8" s="116">
        <f>EXP(-Q8/1.99/H8*1000)</f>
        <v>48.87841890491223</v>
      </c>
      <c r="T8" s="114"/>
      <c r="U8" s="114"/>
      <c r="V8" s="112" t="s">
        <v>452</v>
      </c>
      <c r="W8" s="112" t="s">
        <v>453</v>
      </c>
      <c r="X8" s="112" t="s">
        <v>36</v>
      </c>
    </row>
    <row r="9" spans="1:25">
      <c r="A9" s="81" t="s">
        <v>44</v>
      </c>
      <c r="B9" s="81" t="s">
        <v>45</v>
      </c>
      <c r="C9" s="81" t="s">
        <v>46</v>
      </c>
      <c r="D9" s="81" t="str">
        <f>'A1 = fluorenone'!A37</f>
        <v>4,4-dimethylcyclohexanone</v>
      </c>
      <c r="E9" s="2" t="s">
        <v>47</v>
      </c>
      <c r="F9" s="1">
        <v>0</v>
      </c>
      <c r="G9" s="2" t="s">
        <v>48</v>
      </c>
      <c r="H9" s="1">
        <v>273</v>
      </c>
      <c r="I9" s="3">
        <f>'A1 = fluorenone'!Q37</f>
        <v>-0.35264327716568322</v>
      </c>
      <c r="J9" s="3">
        <f t="shared" si="0"/>
        <v>-2.1019630248602441</v>
      </c>
      <c r="K9" s="3">
        <f>'A1 = fluorenone'!R37</f>
        <v>1.448707072975716E-2</v>
      </c>
      <c r="L9" s="6">
        <f>'A1 = benzophenone'!Q22</f>
        <v>-2.2408884515107474</v>
      </c>
      <c r="M9" s="6">
        <f>'A1 = benzophenone'!R22</f>
        <v>7.3588328344065757E-2</v>
      </c>
      <c r="N9" s="9"/>
      <c r="O9" s="9"/>
      <c r="P9" s="9"/>
      <c r="Q9" s="3">
        <f t="shared" si="2"/>
        <v>-2.1019630248602441</v>
      </c>
      <c r="R9" s="3">
        <f t="shared" si="3"/>
        <v>1.448707072975716E-2</v>
      </c>
      <c r="S9" s="5">
        <f t="shared" si="1"/>
        <v>47.898998822758358</v>
      </c>
      <c r="T9" s="9"/>
      <c r="U9" s="9"/>
      <c r="V9" s="12" t="s">
        <v>49</v>
      </c>
      <c r="W9" s="12" t="s">
        <v>50</v>
      </c>
      <c r="X9" s="2" t="s">
        <v>36</v>
      </c>
    </row>
    <row r="10" spans="1:25">
      <c r="A10" s="81" t="s">
        <v>51</v>
      </c>
      <c r="B10" s="81" t="s">
        <v>52</v>
      </c>
      <c r="C10" s="81" t="s">
        <v>53</v>
      </c>
      <c r="D10" s="81" t="str">
        <f>'A1 = fluorenone'!A42</f>
        <v>2-indanone</v>
      </c>
      <c r="E10" s="2" t="s">
        <v>54</v>
      </c>
      <c r="F10" s="1">
        <v>0</v>
      </c>
      <c r="G10" s="2" t="s">
        <v>55</v>
      </c>
      <c r="H10" s="1">
        <v>273</v>
      </c>
      <c r="I10" s="3">
        <f>'A1 = fluorenone'!Q42</f>
        <v>-0.35246824966522694</v>
      </c>
      <c r="J10" s="3">
        <f t="shared" si="0"/>
        <v>-2.1017879973597875</v>
      </c>
      <c r="K10" s="3">
        <f>'A1 = fluorenone'!R42</f>
        <v>3.309806652775367E-2</v>
      </c>
      <c r="L10" s="6">
        <f>'A1 = benzophenone'!Q3</f>
        <v>-2.5103752622076771</v>
      </c>
      <c r="M10" s="6">
        <f>'A1 = benzophenone'!$R$3</f>
        <v>9.4668014739154399E-2</v>
      </c>
      <c r="N10" s="9"/>
      <c r="O10" s="9"/>
      <c r="P10" s="9"/>
      <c r="Q10" s="3">
        <f t="shared" si="2"/>
        <v>-2.1017879973597875</v>
      </c>
      <c r="R10" s="3">
        <f t="shared" si="3"/>
        <v>3.309806652775367E-2</v>
      </c>
      <c r="S10" s="5">
        <f t="shared" si="1"/>
        <v>47.883569493534658</v>
      </c>
      <c r="T10" s="9"/>
      <c r="U10" s="9"/>
      <c r="V10" s="12" t="s">
        <v>56</v>
      </c>
      <c r="W10" s="2" t="s">
        <v>57</v>
      </c>
      <c r="X10" s="2" t="s">
        <v>36</v>
      </c>
    </row>
    <row r="11" spans="1:25">
      <c r="A11" s="81" t="s">
        <v>58</v>
      </c>
      <c r="B11" s="81" t="s">
        <v>59</v>
      </c>
      <c r="C11" s="81" t="s">
        <v>60</v>
      </c>
      <c r="D11" s="81" t="str">
        <f>'A1 = fluorenone'!A52</f>
        <v>4-tert-butylcyclohexanone (trans)</v>
      </c>
      <c r="E11" s="2" t="s">
        <v>47</v>
      </c>
      <c r="F11" s="1">
        <v>0</v>
      </c>
      <c r="G11" s="2" t="s">
        <v>61</v>
      </c>
      <c r="H11" s="1">
        <v>273</v>
      </c>
      <c r="I11" s="3">
        <f>'A1 = fluorenone'!Q52</f>
        <v>-0.53481705743760743</v>
      </c>
      <c r="J11" s="3">
        <f t="shared" si="0"/>
        <v>-2.2841368051321682</v>
      </c>
      <c r="K11" s="3">
        <f>'A1 = fluorenone'!R52</f>
        <v>5.4794784671772347E-3</v>
      </c>
      <c r="L11" s="6">
        <f>'A1 = benzophenone'!Q13</f>
        <v>-2.5596574601697801</v>
      </c>
      <c r="M11" s="6">
        <f>'A1 = benzophenone'!R13</f>
        <v>1.9986690571565092E-2</v>
      </c>
      <c r="N11" s="9"/>
      <c r="O11" s="9"/>
      <c r="P11" s="9"/>
      <c r="Q11" s="3">
        <f t="shared" si="2"/>
        <v>-2.2841368051321682</v>
      </c>
      <c r="R11" s="3">
        <f t="shared" si="3"/>
        <v>5.4794784671772347E-3</v>
      </c>
      <c r="S11" s="5">
        <f t="shared" si="1"/>
        <v>66.981928309327628</v>
      </c>
      <c r="T11" s="9"/>
      <c r="U11" s="9"/>
      <c r="V11" s="2" t="s">
        <v>62</v>
      </c>
      <c r="W11" s="12" t="s">
        <v>63</v>
      </c>
      <c r="X11" s="2" t="s">
        <v>36</v>
      </c>
    </row>
    <row r="12" spans="1:25">
      <c r="A12" s="81" t="s">
        <v>64</v>
      </c>
      <c r="B12" s="81" t="s">
        <v>59</v>
      </c>
      <c r="C12" s="81" t="s">
        <v>60</v>
      </c>
      <c r="D12" s="81" t="str">
        <f>'A1 = fluorenone'!A53</f>
        <v>4-tert-butylcyclohexanone (cis)</v>
      </c>
      <c r="E12" s="2" t="s">
        <v>47</v>
      </c>
      <c r="F12" s="1">
        <v>0</v>
      </c>
      <c r="G12" s="2" t="s">
        <v>65</v>
      </c>
      <c r="H12" s="1">
        <v>273</v>
      </c>
      <c r="I12" s="3">
        <f>'A1 = fluorenone'!Q53</f>
        <v>0.16837851546293842</v>
      </c>
      <c r="J12" s="3">
        <f t="shared" si="0"/>
        <v>-1.5809412322316223</v>
      </c>
      <c r="K12" s="3">
        <f>'A1 = fluorenone'!R53</f>
        <v>5.4794784671772356E-3</v>
      </c>
      <c r="L12" s="6">
        <f>'A1 = benzophenone'!Q14</f>
        <v>-1.7227798827744227</v>
      </c>
      <c r="M12" s="6">
        <f>'A1 = benzophenone'!R14</f>
        <v>1.9986690571565085E-2</v>
      </c>
      <c r="N12" s="9"/>
      <c r="O12" s="9"/>
      <c r="P12" s="9"/>
      <c r="Q12" s="3">
        <f>J12</f>
        <v>-1.5809412322316223</v>
      </c>
      <c r="R12" s="3">
        <f>K12</f>
        <v>5.4794784671772356E-3</v>
      </c>
      <c r="S12" s="5">
        <f>EXP(-Q12/1.99/H12*1000)</f>
        <v>18.357661307545865</v>
      </c>
      <c r="T12" s="9"/>
      <c r="U12" s="9"/>
      <c r="V12" s="2" t="s">
        <v>62</v>
      </c>
      <c r="W12" s="12" t="s">
        <v>63</v>
      </c>
      <c r="X12" s="2" t="s">
        <v>36</v>
      </c>
    </row>
    <row r="13" spans="1:25">
      <c r="A13" s="81" t="s">
        <v>66</v>
      </c>
      <c r="B13" s="81" t="s">
        <v>67</v>
      </c>
      <c r="C13" s="81" t="s">
        <v>68</v>
      </c>
      <c r="D13" s="81" t="str">
        <f>'A1 = fluorenone'!A54</f>
        <v>4'-nitroacetophenone</v>
      </c>
      <c r="E13" s="2" t="s">
        <v>40</v>
      </c>
      <c r="F13" s="1">
        <v>0</v>
      </c>
      <c r="G13" s="2" t="s">
        <v>69</v>
      </c>
      <c r="H13" s="1">
        <v>273</v>
      </c>
      <c r="I13" s="3">
        <f>'A1 = fluorenone'!Q54</f>
        <v>-0.26912765930728988</v>
      </c>
      <c r="J13" s="3">
        <f t="shared" si="0"/>
        <v>-2.0184474070018505</v>
      </c>
      <c r="K13" s="3">
        <f>'A1 = fluorenone'!R54</f>
        <v>1.1994637259307888E-2</v>
      </c>
      <c r="L13" s="6">
        <f>'A1 = benzophenone'!Q44</f>
        <v>-1.8901002950196837</v>
      </c>
      <c r="M13" s="6">
        <f>'A1 = benzophenone'!R44</f>
        <v>6.0334769513431467E-2</v>
      </c>
      <c r="N13" s="9"/>
      <c r="O13" s="9"/>
      <c r="P13" s="9"/>
      <c r="Q13" s="3">
        <f t="shared" si="2"/>
        <v>-2.0184474070018505</v>
      </c>
      <c r="R13" s="3">
        <f t="shared" si="3"/>
        <v>1.1994637259307888E-2</v>
      </c>
      <c r="S13" s="5">
        <f t="shared" si="1"/>
        <v>41.073656605693003</v>
      </c>
      <c r="T13" s="3">
        <v>0.78</v>
      </c>
      <c r="U13" s="9"/>
      <c r="V13" s="2" t="s">
        <v>70</v>
      </c>
      <c r="W13" s="12" t="s">
        <v>71</v>
      </c>
      <c r="X13" s="2" t="s">
        <v>36</v>
      </c>
    </row>
    <row r="14" spans="1:25">
      <c r="A14" s="81" t="s">
        <v>72</v>
      </c>
      <c r="B14" s="81" t="s">
        <v>73</v>
      </c>
      <c r="C14" s="81" t="s">
        <v>74</v>
      </c>
      <c r="D14" s="81" t="str">
        <f>'A1 = fluorenone'!A64</f>
        <v>3-methylcyclohexanone (cis)</v>
      </c>
      <c r="E14" s="2" t="s">
        <v>47</v>
      </c>
      <c r="F14" s="1">
        <v>0</v>
      </c>
      <c r="G14" s="2" t="s">
        <v>75</v>
      </c>
      <c r="H14" s="1">
        <v>273</v>
      </c>
      <c r="I14" s="3">
        <f>'A1 = fluorenone'!Q64</f>
        <v>-0.35410211026817645</v>
      </c>
      <c r="J14" s="3">
        <f t="shared" si="0"/>
        <v>-2.1034218579627373</v>
      </c>
      <c r="K14" s="3">
        <f>'A1 = fluorenone'!R64</f>
        <v>1.7305497790162872E-2</v>
      </c>
      <c r="L14" s="6">
        <f>'A1 = benzophenone'!Q32</f>
        <v>-2.403499997949289</v>
      </c>
      <c r="M14" s="6">
        <f>'A1 = benzophenone'!R32</f>
        <v>3.4283298133827023E-2</v>
      </c>
      <c r="N14" s="9"/>
      <c r="O14" s="9"/>
      <c r="P14" s="9"/>
      <c r="Q14" s="3">
        <f t="shared" si="2"/>
        <v>-2.1034218579627373</v>
      </c>
      <c r="R14" s="3">
        <f t="shared" si="3"/>
        <v>1.7305497790162872E-2</v>
      </c>
      <c r="S14" s="5">
        <f t="shared" si="1"/>
        <v>48.027793986006429</v>
      </c>
      <c r="T14" s="9"/>
      <c r="U14" s="9"/>
      <c r="V14" s="2" t="s">
        <v>76</v>
      </c>
      <c r="W14" s="12" t="s">
        <v>63</v>
      </c>
      <c r="X14" s="2" t="s">
        <v>36</v>
      </c>
    </row>
    <row r="15" spans="1:25">
      <c r="A15" s="81" t="s">
        <v>77</v>
      </c>
      <c r="B15" s="81" t="s">
        <v>73</v>
      </c>
      <c r="C15" s="81" t="s">
        <v>74</v>
      </c>
      <c r="D15" s="81" t="str">
        <f>'A1 = fluorenone'!A65</f>
        <v>3-methylcyclohexanone (trans)</v>
      </c>
      <c r="E15" s="2" t="s">
        <v>47</v>
      </c>
      <c r="F15" s="1">
        <v>0</v>
      </c>
      <c r="G15" s="2" t="s">
        <v>78</v>
      </c>
      <c r="H15" s="1">
        <v>273</v>
      </c>
      <c r="I15" s="3">
        <f>'A1 = fluorenone'!Q65</f>
        <v>0.24650065678071897</v>
      </c>
      <c r="J15" s="3">
        <f t="shared" si="0"/>
        <v>-1.5028190909138419</v>
      </c>
      <c r="K15" s="3">
        <f>'A1 = fluorenone'!R65</f>
        <v>1.7305497790162872E-2</v>
      </c>
      <c r="L15" s="6">
        <f>'A1 = benzophenone'!Q33</f>
        <v>-1.7603932173475267</v>
      </c>
      <c r="M15" s="6">
        <f>'A1 = benzophenone'!R33</f>
        <v>3.428329813382703E-2</v>
      </c>
      <c r="N15" s="9"/>
      <c r="O15" s="9"/>
      <c r="P15" s="9"/>
      <c r="Q15" s="3">
        <f t="shared" si="2"/>
        <v>-1.5028190909138419</v>
      </c>
      <c r="R15" s="3">
        <f t="shared" si="3"/>
        <v>1.7305497790162872E-2</v>
      </c>
      <c r="S15" s="5">
        <f t="shared" si="1"/>
        <v>15.898855940195233</v>
      </c>
      <c r="T15" s="9"/>
      <c r="U15" s="9"/>
      <c r="V15" s="2" t="s">
        <v>76</v>
      </c>
      <c r="W15" s="12" t="s">
        <v>63</v>
      </c>
      <c r="X15" s="2" t="s">
        <v>36</v>
      </c>
    </row>
    <row r="16" spans="1:25">
      <c r="A16" s="81" t="s">
        <v>79</v>
      </c>
      <c r="B16" s="81" t="s">
        <v>80</v>
      </c>
      <c r="C16" s="81" t="s">
        <v>81</v>
      </c>
      <c r="D16" s="81" t="str">
        <f>'A1 = fluorenone'!A66</f>
        <v>4-phenyl-3-butyn-2-one</v>
      </c>
      <c r="E16" s="2" t="s">
        <v>32</v>
      </c>
      <c r="F16" s="1">
        <v>0</v>
      </c>
      <c r="G16" s="2" t="s">
        <v>82</v>
      </c>
      <c r="H16" s="1">
        <v>273</v>
      </c>
      <c r="I16" s="3">
        <f>'A1 = fluorenone'!Q66</f>
        <v>-5.7300517572637863E-2</v>
      </c>
      <c r="J16" s="3">
        <f t="shared" si="0"/>
        <v>-1.8066202652671985</v>
      </c>
      <c r="K16" s="3">
        <f>'A1 = fluorenone'!R66</f>
        <v>1.4920034761378037E-2</v>
      </c>
      <c r="L16" s="6">
        <f>'A1 = benzophenone'!Q49</f>
        <v>-1.8648137815272592</v>
      </c>
      <c r="M16" s="6">
        <f>'A1 = benzophenone'!R49</f>
        <v>3.0251134299117296E-2</v>
      </c>
      <c r="N16" s="9"/>
      <c r="O16" s="9"/>
      <c r="P16" s="9"/>
      <c r="Q16" s="3">
        <f t="shared" si="2"/>
        <v>-1.8066202652671985</v>
      </c>
      <c r="R16" s="3">
        <f t="shared" si="3"/>
        <v>1.4920034761378037E-2</v>
      </c>
      <c r="S16" s="5">
        <f t="shared" si="1"/>
        <v>27.811666826523549</v>
      </c>
      <c r="T16" s="9"/>
      <c r="U16" s="9"/>
      <c r="V16" s="2" t="s">
        <v>83</v>
      </c>
      <c r="W16" s="2" t="s">
        <v>84</v>
      </c>
      <c r="X16" s="2" t="s">
        <v>36</v>
      </c>
    </row>
    <row r="17" spans="1:24">
      <c r="A17" s="81" t="s">
        <v>85</v>
      </c>
      <c r="B17" s="81" t="s">
        <v>86</v>
      </c>
      <c r="C17" s="81" t="s">
        <v>87</v>
      </c>
      <c r="D17" s="81" t="str">
        <f>'A1 = fluorenone'!A71</f>
        <v>3'-nitroacetophenone</v>
      </c>
      <c r="E17" s="2" t="s">
        <v>40</v>
      </c>
      <c r="F17" s="1">
        <v>0</v>
      </c>
      <c r="G17" s="2" t="s">
        <v>88</v>
      </c>
      <c r="H17" s="1">
        <v>273</v>
      </c>
      <c r="I17" s="3">
        <f>'A1 = fluorenone'!Q71</f>
        <v>-4.5735600865620653E-2</v>
      </c>
      <c r="J17" s="3">
        <f t="shared" si="0"/>
        <v>-1.7950553485601815</v>
      </c>
      <c r="K17" s="3">
        <f>'A1 = fluorenone'!R71</f>
        <v>8.606932550920994E-3</v>
      </c>
      <c r="L17" s="9"/>
      <c r="M17" s="9"/>
      <c r="N17" s="9"/>
      <c r="O17" s="9"/>
      <c r="P17" s="9"/>
      <c r="Q17" s="3">
        <f t="shared" si="2"/>
        <v>-1.7950553485601815</v>
      </c>
      <c r="R17" s="3">
        <f t="shared" si="3"/>
        <v>8.606932550920994E-3</v>
      </c>
      <c r="S17" s="5">
        <f t="shared" si="1"/>
        <v>27.225880190548676</v>
      </c>
      <c r="T17" s="9"/>
      <c r="U17" s="9"/>
      <c r="V17" s="2" t="s">
        <v>89</v>
      </c>
      <c r="W17" s="2" t="s">
        <v>90</v>
      </c>
      <c r="X17" s="2" t="s">
        <v>36</v>
      </c>
    </row>
    <row r="18" spans="1:24">
      <c r="A18" s="81" t="s">
        <v>91</v>
      </c>
      <c r="B18" s="81" t="s">
        <v>92</v>
      </c>
      <c r="C18" s="81" t="s">
        <v>93</v>
      </c>
      <c r="D18" s="81" t="str">
        <f>'A1 = fluorenone'!A76</f>
        <v>2-tetralone</v>
      </c>
      <c r="E18" s="2" t="s">
        <v>54</v>
      </c>
      <c r="F18" s="1">
        <v>0</v>
      </c>
      <c r="G18" s="2" t="s">
        <v>94</v>
      </c>
      <c r="H18" s="1">
        <v>273</v>
      </c>
      <c r="I18" s="3">
        <f>'A1 = fluorenone'!Q76</f>
        <v>2.3753801477470183E-2</v>
      </c>
      <c r="J18" s="3">
        <f t="shared" si="0"/>
        <v>-1.7255659462170907</v>
      </c>
      <c r="K18" s="3">
        <f>'A1 = fluorenone'!R76</f>
        <v>5.8431031569061492E-3</v>
      </c>
      <c r="L18" s="6">
        <f>'A1 = benzophenone'!Q54</f>
        <v>-1.762365224290221</v>
      </c>
      <c r="M18" s="6">
        <f>'A1 = benzophenone'!$R$54</f>
        <v>0.10254472215675256</v>
      </c>
      <c r="N18" s="9"/>
      <c r="O18" s="9"/>
      <c r="P18" s="9"/>
      <c r="Q18" s="3">
        <f t="shared" si="2"/>
        <v>-1.7255659462170907</v>
      </c>
      <c r="R18" s="3">
        <f t="shared" si="3"/>
        <v>5.8431031569061492E-3</v>
      </c>
      <c r="S18" s="5">
        <f t="shared" si="1"/>
        <v>23.95695032673067</v>
      </c>
      <c r="T18" s="9"/>
      <c r="U18" s="9"/>
      <c r="V18" s="2" t="s">
        <v>95</v>
      </c>
      <c r="W18" s="2" t="s">
        <v>96</v>
      </c>
      <c r="X18" s="2" t="s">
        <v>36</v>
      </c>
    </row>
    <row r="19" spans="1:24">
      <c r="A19" s="81" t="s">
        <v>97</v>
      </c>
      <c r="B19" s="81" t="s">
        <v>98</v>
      </c>
      <c r="C19" s="81" t="s">
        <v>99</v>
      </c>
      <c r="D19" s="81" t="str">
        <f>'A1 = benzophenone'!A20</f>
        <v>4-methylcyclohexanone (trans)</v>
      </c>
      <c r="E19" s="2" t="s">
        <v>47</v>
      </c>
      <c r="F19" s="1">
        <v>0</v>
      </c>
      <c r="G19" s="2" t="s">
        <v>100</v>
      </c>
      <c r="H19" s="1">
        <v>273</v>
      </c>
      <c r="I19" s="9"/>
      <c r="J19" s="9"/>
      <c r="K19" s="9"/>
      <c r="L19" s="3">
        <f>'A1 = benzophenone'!Q20</f>
        <v>-2.5316082791648906</v>
      </c>
      <c r="M19" s="3">
        <f>'A1 = benzophenone'!R20</f>
        <v>5.7619886699754139E-2</v>
      </c>
      <c r="N19" s="9"/>
      <c r="O19" s="9"/>
      <c r="P19" s="9"/>
      <c r="Q19" s="3">
        <f>L19</f>
        <v>-2.5316082791648906</v>
      </c>
      <c r="R19" s="3">
        <f>M19</f>
        <v>5.7619886699754139E-2</v>
      </c>
      <c r="S19" s="5">
        <f t="shared" si="1"/>
        <v>105.63026436300554</v>
      </c>
      <c r="T19" s="9"/>
      <c r="U19" s="9"/>
      <c r="V19" s="2" t="s">
        <v>101</v>
      </c>
      <c r="W19" s="12" t="s">
        <v>63</v>
      </c>
      <c r="X19" s="2" t="s">
        <v>36</v>
      </c>
    </row>
    <row r="20" spans="1:24">
      <c r="A20" s="81" t="s">
        <v>102</v>
      </c>
      <c r="B20" s="81" t="s">
        <v>98</v>
      </c>
      <c r="C20" s="81" t="s">
        <v>99</v>
      </c>
      <c r="D20" s="81" t="str">
        <f>'A1 = benzophenone'!A21</f>
        <v>4-methylcyclohexanone (cis)</v>
      </c>
      <c r="E20" s="2" t="s">
        <v>47</v>
      </c>
      <c r="F20" s="1">
        <v>0</v>
      </c>
      <c r="G20" s="2" t="s">
        <v>103</v>
      </c>
      <c r="H20" s="1">
        <v>273</v>
      </c>
      <c r="I20" s="9"/>
      <c r="J20" s="9"/>
      <c r="K20" s="9"/>
      <c r="L20" s="3">
        <f>'A1 = benzophenone'!Q21</f>
        <v>-1.7285998543165437</v>
      </c>
      <c r="M20" s="3">
        <f>'A1 = benzophenone'!R21</f>
        <v>5.7619886699754125E-2</v>
      </c>
      <c r="N20" s="9"/>
      <c r="O20" s="9"/>
      <c r="P20" s="9"/>
      <c r="Q20" s="3">
        <f>L20</f>
        <v>-1.7285998543165437</v>
      </c>
      <c r="R20" s="3">
        <f t="shared" ref="R20:R21" si="7">M20</f>
        <v>5.7619886699754125E-2</v>
      </c>
      <c r="S20" s="5">
        <f t="shared" si="1"/>
        <v>24.091112924895999</v>
      </c>
      <c r="T20" s="9"/>
      <c r="U20" s="9"/>
      <c r="V20" s="2" t="s">
        <v>101</v>
      </c>
      <c r="W20" s="12" t="s">
        <v>63</v>
      </c>
      <c r="X20" s="2" t="s">
        <v>36</v>
      </c>
    </row>
    <row r="21" spans="1:24">
      <c r="A21" s="81" t="s">
        <v>104</v>
      </c>
      <c r="B21" s="81" t="s">
        <v>105</v>
      </c>
      <c r="C21" s="81" t="s">
        <v>106</v>
      </c>
      <c r="D21" s="81" t="str">
        <f>'A1 = benzophenone'!A39</f>
        <v>cyclohexanone</v>
      </c>
      <c r="E21" s="2" t="s">
        <v>47</v>
      </c>
      <c r="F21" s="1">
        <v>0</v>
      </c>
      <c r="G21" s="2" t="s">
        <v>107</v>
      </c>
      <c r="H21" s="1">
        <v>273</v>
      </c>
      <c r="I21" s="9"/>
      <c r="J21" s="9"/>
      <c r="K21" s="9"/>
      <c r="L21" s="3">
        <f>'A1 = benzophenone'!Q39</f>
        <v>-2.0835534791638555</v>
      </c>
      <c r="M21" s="3">
        <f>'A1 = benzophenone'!R39</f>
        <v>5.8642056869454083E-2</v>
      </c>
      <c r="N21" s="9"/>
      <c r="O21" s="9"/>
      <c r="P21" s="9"/>
      <c r="Q21" s="3">
        <f>L21</f>
        <v>-2.0835534791638555</v>
      </c>
      <c r="R21" s="3">
        <f t="shared" si="7"/>
        <v>5.8642056869454083E-2</v>
      </c>
      <c r="S21" s="5">
        <f t="shared" si="1"/>
        <v>46.30306017440121</v>
      </c>
      <c r="T21" s="9"/>
      <c r="U21" s="9"/>
      <c r="V21" s="2" t="s">
        <v>108</v>
      </c>
      <c r="W21" s="2" t="s">
        <v>109</v>
      </c>
      <c r="X21" s="2" t="s">
        <v>36</v>
      </c>
    </row>
    <row r="22" spans="1:24">
      <c r="A22" s="81" t="s">
        <v>110</v>
      </c>
      <c r="B22" s="81" t="s">
        <v>111</v>
      </c>
      <c r="C22" s="81" t="s">
        <v>112</v>
      </c>
      <c r="D22" s="81" t="str">
        <f>'A1 = benzophenone'!A59</f>
        <v>9-fluorenone</v>
      </c>
      <c r="E22" s="2" t="s">
        <v>54</v>
      </c>
      <c r="F22" s="1">
        <v>1</v>
      </c>
      <c r="G22" s="2" t="s">
        <v>113</v>
      </c>
      <c r="H22" s="1">
        <v>273</v>
      </c>
      <c r="I22" s="3">
        <v>0</v>
      </c>
      <c r="J22" s="3">
        <f>I22+$L$22</f>
        <v>-1.7493197476945608</v>
      </c>
      <c r="K22" s="3">
        <v>0</v>
      </c>
      <c r="L22" s="6">
        <f>'A1 = benzophenone'!Q59</f>
        <v>-1.7493197476945608</v>
      </c>
      <c r="M22" s="6">
        <f>'A1 = benzophenone'!$R$59</f>
        <v>1.8329314067622494E-2</v>
      </c>
      <c r="N22" s="9"/>
      <c r="O22" s="9"/>
      <c r="P22" s="9"/>
      <c r="Q22" s="3">
        <f>J22</f>
        <v>-1.7493197476945608</v>
      </c>
      <c r="R22" s="3">
        <f>K22</f>
        <v>0</v>
      </c>
      <c r="S22" s="5">
        <f t="shared" si="1"/>
        <v>25.027675509416852</v>
      </c>
      <c r="T22" s="9"/>
      <c r="U22" s="4">
        <v>104.82</v>
      </c>
      <c r="V22" s="2" t="s">
        <v>114</v>
      </c>
      <c r="W22" s="2" t="s">
        <v>115</v>
      </c>
      <c r="X22" s="2" t="s">
        <v>36</v>
      </c>
    </row>
    <row r="23" spans="1:24">
      <c r="A23" s="81" t="s">
        <v>116</v>
      </c>
      <c r="B23" s="81" t="s">
        <v>117</v>
      </c>
      <c r="C23" s="81" t="s">
        <v>118</v>
      </c>
      <c r="D23" s="81" t="s">
        <v>119</v>
      </c>
      <c r="E23" s="2" t="s">
        <v>47</v>
      </c>
      <c r="F23" s="131">
        <v>1</v>
      </c>
      <c r="G23" s="2" t="s">
        <v>120</v>
      </c>
      <c r="H23" s="1">
        <v>273</v>
      </c>
      <c r="I23" s="9"/>
      <c r="J23" s="9"/>
      <c r="K23" s="9"/>
      <c r="L23" s="3">
        <f>'A1 = benzophenone'!Q69</f>
        <v>-1.9691263120891376</v>
      </c>
      <c r="M23" s="3">
        <f>'A1 = benzophenone'!R69</f>
        <v>3.7798738093642995E-2</v>
      </c>
      <c r="N23" s="9"/>
      <c r="O23" s="9"/>
      <c r="P23" s="9"/>
      <c r="Q23" s="3">
        <f>L23</f>
        <v>-1.9691263120891376</v>
      </c>
      <c r="R23" s="3">
        <f>M23</f>
        <v>3.7798738093642995E-2</v>
      </c>
      <c r="S23" s="5">
        <f t="shared" si="1"/>
        <v>37.509016865468922</v>
      </c>
      <c r="T23" s="9"/>
      <c r="U23" s="9"/>
      <c r="V23" s="2" t="s">
        <v>121</v>
      </c>
      <c r="W23" s="2" t="s">
        <v>122</v>
      </c>
      <c r="X23" s="2" t="s">
        <v>36</v>
      </c>
    </row>
    <row r="24" spans="1:24">
      <c r="A24" s="81" t="s">
        <v>123</v>
      </c>
      <c r="B24" s="81" t="s">
        <v>117</v>
      </c>
      <c r="C24" s="81" t="s">
        <v>118</v>
      </c>
      <c r="D24" s="81" t="s">
        <v>124</v>
      </c>
      <c r="E24" s="2" t="s">
        <v>47</v>
      </c>
      <c r="F24" s="131">
        <v>1</v>
      </c>
      <c r="G24" s="2" t="s">
        <v>125</v>
      </c>
      <c r="H24" s="1">
        <v>273</v>
      </c>
      <c r="I24" s="9"/>
      <c r="J24" s="9"/>
      <c r="K24" s="9"/>
      <c r="L24" s="3">
        <f>'A1 = benzophenone'!Q70</f>
        <v>-0.91197170541185746</v>
      </c>
      <c r="M24" s="3">
        <f>'A1 = benzophenone'!R70</f>
        <v>3.7798738093642995E-2</v>
      </c>
      <c r="N24" s="9"/>
      <c r="O24" s="9"/>
      <c r="P24" s="9"/>
      <c r="Q24" s="3">
        <f>L24</f>
        <v>-0.91197170541185746</v>
      </c>
      <c r="R24" s="3">
        <f t="shared" ref="R24:R28" si="8">M24</f>
        <v>3.7798738093642995E-2</v>
      </c>
      <c r="S24" s="5">
        <f t="shared" si="1"/>
        <v>5.3584309807812769</v>
      </c>
      <c r="T24" s="9"/>
      <c r="U24" s="9"/>
      <c r="V24" s="2" t="s">
        <v>121</v>
      </c>
      <c r="W24" s="2" t="s">
        <v>126</v>
      </c>
      <c r="X24" s="2" t="s">
        <v>36</v>
      </c>
    </row>
    <row r="25" spans="1:24" ht="17">
      <c r="A25" s="81" t="s">
        <v>127</v>
      </c>
      <c r="B25" s="81" t="s">
        <v>128</v>
      </c>
      <c r="C25" s="81" t="s">
        <v>129</v>
      </c>
      <c r="D25" s="81" t="str">
        <f>'A1 = benzophenone'!A71</f>
        <v>3'-(trifluoromethyl)acetophenone</v>
      </c>
      <c r="E25" s="2" t="s">
        <v>40</v>
      </c>
      <c r="F25" s="1">
        <v>0</v>
      </c>
      <c r="G25" s="2" t="s">
        <v>130</v>
      </c>
      <c r="H25" s="1">
        <v>273</v>
      </c>
      <c r="I25" s="9"/>
      <c r="J25" s="9"/>
      <c r="K25" s="9"/>
      <c r="L25" s="3">
        <f>'A1 = benzophenone'!Q71</f>
        <v>-1.5841979094277034</v>
      </c>
      <c r="M25" s="3">
        <f>'A1 = benzophenone'!$R$71</f>
        <v>2.8765029626976593E-2</v>
      </c>
      <c r="N25" s="9"/>
      <c r="O25" s="9"/>
      <c r="P25" s="9"/>
      <c r="Q25" s="3">
        <f>L25</f>
        <v>-1.5841979094277034</v>
      </c>
      <c r="R25" s="3">
        <f t="shared" si="8"/>
        <v>2.8765029626976593E-2</v>
      </c>
      <c r="S25" s="5">
        <f t="shared" si="1"/>
        <v>18.468038336576676</v>
      </c>
      <c r="T25" s="3">
        <v>0.43</v>
      </c>
      <c r="U25" s="9"/>
      <c r="V25" s="2" t="s">
        <v>131</v>
      </c>
      <c r="W25" s="2" t="s">
        <v>132</v>
      </c>
      <c r="X25" s="2" t="s">
        <v>36</v>
      </c>
    </row>
    <row r="26" spans="1:24">
      <c r="A26" s="81" t="s">
        <v>133</v>
      </c>
      <c r="B26" s="81" t="s">
        <v>134</v>
      </c>
      <c r="C26" s="81" t="s">
        <v>135</v>
      </c>
      <c r="D26" s="81" t="str">
        <f>'A1 = benzophenone'!A76</f>
        <v>2-adamantanone</v>
      </c>
      <c r="E26" s="2" t="s">
        <v>136</v>
      </c>
      <c r="F26" s="1">
        <v>0</v>
      </c>
      <c r="G26" s="2" t="s">
        <v>137</v>
      </c>
      <c r="H26" s="1">
        <v>273</v>
      </c>
      <c r="I26" s="6">
        <f>'A1 = fluorenone'!Q81</f>
        <v>0.26610523013614784</v>
      </c>
      <c r="J26" s="6">
        <f>I26+$L$22</f>
        <v>-1.4832145175584128</v>
      </c>
      <c r="K26" s="6">
        <f>'A1 = fluorenone'!R81</f>
        <v>3.0459074373805167E-2</v>
      </c>
      <c r="L26" s="3">
        <f>'A1 = benzophenone'!Q76</f>
        <v>-1.4704737832940951</v>
      </c>
      <c r="M26" s="3">
        <f>'A1 = benzophenone'!R76</f>
        <v>1.2088340507175815E-2</v>
      </c>
      <c r="N26" s="9"/>
      <c r="O26" s="9"/>
      <c r="P26" s="9"/>
      <c r="Q26" s="3">
        <f>L26</f>
        <v>-1.4704737832940951</v>
      </c>
      <c r="R26" s="3">
        <f t="shared" si="8"/>
        <v>1.2088340507175815E-2</v>
      </c>
      <c r="S26" s="5">
        <f t="shared" si="1"/>
        <v>14.97989505123941</v>
      </c>
      <c r="T26" s="9"/>
      <c r="U26" s="9"/>
      <c r="V26" s="2" t="s">
        <v>138</v>
      </c>
      <c r="W26" s="2" t="s">
        <v>139</v>
      </c>
      <c r="X26" s="2" t="s">
        <v>36</v>
      </c>
    </row>
    <row r="27" spans="1:24">
      <c r="A27" s="81" t="s">
        <v>140</v>
      </c>
      <c r="B27" s="81" t="s">
        <v>141</v>
      </c>
      <c r="C27" s="81" t="s">
        <v>142</v>
      </c>
      <c r="D27" s="81" t="str">
        <f>'A1 = benzophenone'!A81</f>
        <v>4'-(trifluoromethyl)acetophenone</v>
      </c>
      <c r="E27" s="2" t="s">
        <v>40</v>
      </c>
      <c r="F27" s="1">
        <v>0</v>
      </c>
      <c r="G27" s="2" t="s">
        <v>143</v>
      </c>
      <c r="H27" s="1">
        <v>273</v>
      </c>
      <c r="I27" s="9"/>
      <c r="J27" s="9"/>
      <c r="K27" s="9"/>
      <c r="L27" s="3">
        <f>'A1 = benzophenone'!Q81</f>
        <v>-1.4634050959363298</v>
      </c>
      <c r="M27" s="3">
        <f>'A1 = benzophenone'!R81</f>
        <v>5.9895933088839989E-2</v>
      </c>
      <c r="N27" s="9"/>
      <c r="O27" s="9"/>
      <c r="P27" s="9"/>
      <c r="Q27" s="3">
        <f>L27</f>
        <v>-1.4634050959363298</v>
      </c>
      <c r="R27" s="3">
        <f t="shared" si="8"/>
        <v>5.9895933088839989E-2</v>
      </c>
      <c r="S27" s="5">
        <f t="shared" si="1"/>
        <v>14.786248618460256</v>
      </c>
      <c r="T27" s="3">
        <v>0.54</v>
      </c>
      <c r="U27" s="9"/>
      <c r="V27" s="2" t="s">
        <v>144</v>
      </c>
      <c r="W27" s="2" t="s">
        <v>145</v>
      </c>
      <c r="X27" s="2" t="s">
        <v>36</v>
      </c>
    </row>
    <row r="28" spans="1:24">
      <c r="A28" s="81" t="s">
        <v>146</v>
      </c>
      <c r="B28" s="81" t="s">
        <v>147</v>
      </c>
      <c r="C28" s="81" t="s">
        <v>148</v>
      </c>
      <c r="D28" s="81" t="str">
        <f>'A1 = benzophenone'!A101</f>
        <v>2-fluorophenylacetone</v>
      </c>
      <c r="E28" s="2" t="s">
        <v>40</v>
      </c>
      <c r="F28" s="1">
        <v>0</v>
      </c>
      <c r="G28" s="2" t="s">
        <v>149</v>
      </c>
      <c r="H28" s="1">
        <v>273</v>
      </c>
      <c r="I28" s="9"/>
      <c r="J28" s="9"/>
      <c r="K28" s="9"/>
      <c r="L28" s="3">
        <f>'A1 = benzophenone'!Q101</f>
        <v>-1.1844708922616534</v>
      </c>
      <c r="M28" s="3">
        <f>'A1 = benzophenone'!R101</f>
        <v>5.1868392089869333E-2</v>
      </c>
      <c r="N28" s="9"/>
      <c r="O28" s="9"/>
      <c r="P28" s="9"/>
      <c r="Q28" s="3">
        <f>L28</f>
        <v>-1.1844708922616534</v>
      </c>
      <c r="R28" s="3">
        <f t="shared" si="8"/>
        <v>5.1868392089869333E-2</v>
      </c>
      <c r="S28" s="5">
        <f t="shared" si="1"/>
        <v>8.8486235701597202</v>
      </c>
      <c r="T28" s="9"/>
      <c r="U28" s="9"/>
      <c r="V28" s="2" t="s">
        <v>150</v>
      </c>
      <c r="W28" s="2" t="s">
        <v>151</v>
      </c>
      <c r="X28" s="2" t="s">
        <v>36</v>
      </c>
    </row>
    <row r="29" spans="1:24">
      <c r="A29" s="81" t="s">
        <v>152</v>
      </c>
      <c r="B29" s="81" t="s">
        <v>153</v>
      </c>
      <c r="C29" s="81" t="s">
        <v>154</v>
      </c>
      <c r="D29" s="81" t="str">
        <f>'A1 = benzophenone'!A113</f>
        <v>4-phenyl-2-butanone</v>
      </c>
      <c r="E29" s="2" t="s">
        <v>32</v>
      </c>
      <c r="F29" s="1">
        <v>0</v>
      </c>
      <c r="G29" s="2" t="s">
        <v>155</v>
      </c>
      <c r="H29" s="1">
        <v>273</v>
      </c>
      <c r="I29" s="3">
        <f>'A1 = fluorenone'!Q86</f>
        <v>0.60956895766753671</v>
      </c>
      <c r="J29" s="3">
        <f>I29+$L$22</f>
        <v>-1.1397507900270241</v>
      </c>
      <c r="K29" s="3">
        <f>'A1 = fluorenone'!R86</f>
        <v>1.1855117160272646E-2</v>
      </c>
      <c r="L29" s="6">
        <f>'A1 = benzophenone'!Q113</f>
        <v>-0.9920460686591398</v>
      </c>
      <c r="M29" s="6">
        <f>'A1 = benzophenone'!R113</f>
        <v>0.30242808714159225</v>
      </c>
      <c r="N29" s="9"/>
      <c r="O29" s="9"/>
      <c r="P29" s="9"/>
      <c r="Q29" s="3">
        <f>J29</f>
        <v>-1.1397507900270241</v>
      </c>
      <c r="R29" s="3">
        <f>K29</f>
        <v>1.1855117160272646E-2</v>
      </c>
      <c r="S29" s="5">
        <f t="shared" si="1"/>
        <v>8.1494088128551727</v>
      </c>
      <c r="T29" s="9"/>
      <c r="U29" s="9"/>
      <c r="V29" s="2" t="s">
        <v>156</v>
      </c>
      <c r="W29" s="2" t="s">
        <v>157</v>
      </c>
      <c r="X29" s="2" t="s">
        <v>36</v>
      </c>
    </row>
    <row r="30" spans="1:24">
      <c r="A30" s="81" t="s">
        <v>158</v>
      </c>
      <c r="B30" s="81" t="s">
        <v>159</v>
      </c>
      <c r="C30" s="81" t="s">
        <v>160</v>
      </c>
      <c r="D30" s="81" t="str">
        <f>'A1 = benzophenone'!A123</f>
        <v>1,1-dimethoxy-3-butanone</v>
      </c>
      <c r="E30" s="2" t="s">
        <v>32</v>
      </c>
      <c r="F30" s="1">
        <v>0</v>
      </c>
      <c r="G30" s="2" t="s">
        <v>161</v>
      </c>
      <c r="H30" s="1">
        <v>273</v>
      </c>
      <c r="I30" s="9"/>
      <c r="J30" s="9"/>
      <c r="K30" s="9"/>
      <c r="L30" s="3">
        <f>'A1 = benzophenone'!Q123</f>
        <v>-0.88210750336884858</v>
      </c>
      <c r="M30" s="3">
        <f>'A1 = benzophenone'!$R$123</f>
        <v>9.0478731926425127E-3</v>
      </c>
      <c r="N30" s="9"/>
      <c r="O30" s="9"/>
      <c r="P30" s="9"/>
      <c r="Q30" s="3">
        <f>L30</f>
        <v>-0.88210750336884858</v>
      </c>
      <c r="R30" s="3">
        <f>M30</f>
        <v>9.0478731926425127E-3</v>
      </c>
      <c r="S30" s="5">
        <f t="shared" si="1"/>
        <v>5.071821422623275</v>
      </c>
      <c r="T30" s="9"/>
      <c r="U30" s="9"/>
      <c r="V30" s="2" t="s">
        <v>162</v>
      </c>
      <c r="W30" s="2" t="s">
        <v>163</v>
      </c>
      <c r="X30" s="2" t="s">
        <v>36</v>
      </c>
    </row>
    <row r="31" spans="1:24">
      <c r="A31" s="81" t="s">
        <v>164</v>
      </c>
      <c r="B31" s="81" t="s">
        <v>165</v>
      </c>
      <c r="C31" s="81" t="s">
        <v>166</v>
      </c>
      <c r="D31" s="81" t="str">
        <f>'A1 = benzophenone'!A128</f>
        <v>1-cyclopentylethanone</v>
      </c>
      <c r="E31" s="2" t="s">
        <v>32</v>
      </c>
      <c r="F31" s="1">
        <v>0</v>
      </c>
      <c r="G31" s="2" t="s">
        <v>167</v>
      </c>
      <c r="H31" s="1">
        <v>273</v>
      </c>
      <c r="I31" s="6">
        <f>'A1 = fluorenone'!Q98</f>
        <v>0.78543763226355157</v>
      </c>
      <c r="J31" s="6">
        <f>I31+$L$22</f>
        <v>-0.96388211543100921</v>
      </c>
      <c r="K31" s="6">
        <f>'A1 = fluorenone'!R98</f>
        <v>1.6949301589875027E-2</v>
      </c>
      <c r="L31" s="3">
        <f>'A1 = benzophenone'!Q128</f>
        <v>-0.87412513157765581</v>
      </c>
      <c r="M31" s="3">
        <f>'A1 = benzophenone'!R128</f>
        <v>4.6474728703826844E-2</v>
      </c>
      <c r="N31" s="9"/>
      <c r="O31" s="9"/>
      <c r="P31" s="9"/>
      <c r="Q31" s="3">
        <f t="shared" ref="Q31:Q77" si="9">L31</f>
        <v>-0.87412513157765581</v>
      </c>
      <c r="R31" s="3">
        <f t="shared" ref="R31:R77" si="10">M31</f>
        <v>4.6474728703826844E-2</v>
      </c>
      <c r="S31" s="5">
        <f t="shared" si="1"/>
        <v>4.9978449699475638</v>
      </c>
      <c r="T31" s="9"/>
      <c r="U31" s="9"/>
      <c r="V31" s="2" t="s">
        <v>168</v>
      </c>
      <c r="W31" s="2" t="s">
        <v>169</v>
      </c>
      <c r="X31" s="2" t="s">
        <v>36</v>
      </c>
    </row>
    <row r="32" spans="1:24">
      <c r="A32" s="81" t="s">
        <v>170</v>
      </c>
      <c r="B32" s="81" t="s">
        <v>171</v>
      </c>
      <c r="C32" s="81" t="s">
        <v>172</v>
      </c>
      <c r="D32" s="81" t="str">
        <f>'A1 = benzophenone'!A133</f>
        <v>5-chloro-1-indanone</v>
      </c>
      <c r="E32" s="2" t="s">
        <v>54</v>
      </c>
      <c r="F32" s="1">
        <v>0</v>
      </c>
      <c r="G32" s="2" t="s">
        <v>173</v>
      </c>
      <c r="H32" s="1">
        <v>273</v>
      </c>
      <c r="I32" s="9"/>
      <c r="J32" s="9"/>
      <c r="K32" s="9"/>
      <c r="L32" s="3">
        <f>'A1 = benzophenone'!Q133</f>
        <v>-0.81199077649558393</v>
      </c>
      <c r="M32" s="3">
        <f>'A1 = benzophenone'!R133</f>
        <v>7.8406644664601646E-3</v>
      </c>
      <c r="N32" s="9"/>
      <c r="O32" s="9"/>
      <c r="P32" s="9"/>
      <c r="Q32" s="3">
        <f t="shared" si="9"/>
        <v>-0.81199077649558393</v>
      </c>
      <c r="R32" s="3">
        <f t="shared" si="10"/>
        <v>7.8406644664601646E-3</v>
      </c>
      <c r="S32" s="5">
        <f t="shared" si="1"/>
        <v>4.4577126386310804</v>
      </c>
      <c r="T32" s="9"/>
      <c r="U32" s="9"/>
      <c r="V32" s="2" t="s">
        <v>174</v>
      </c>
      <c r="W32" s="2" t="s">
        <v>175</v>
      </c>
      <c r="X32" s="2" t="s">
        <v>36</v>
      </c>
    </row>
    <row r="33" spans="1:24">
      <c r="A33" s="81" t="s">
        <v>176</v>
      </c>
      <c r="B33" s="81" t="s">
        <v>177</v>
      </c>
      <c r="C33" s="81" t="s">
        <v>178</v>
      </c>
      <c r="D33" s="81" t="str">
        <f>'A1 = benzophenone'!A138</f>
        <v>2-nonanone</v>
      </c>
      <c r="E33" s="2" t="s">
        <v>32</v>
      </c>
      <c r="F33" s="1">
        <v>0</v>
      </c>
      <c r="G33" s="2" t="s">
        <v>179</v>
      </c>
      <c r="H33" s="1">
        <v>273</v>
      </c>
      <c r="I33" s="9"/>
      <c r="J33" s="9"/>
      <c r="K33" s="9"/>
      <c r="L33" s="3">
        <f>'A1 = benzophenone'!$Q$138</f>
        <v>-0.79591067665670856</v>
      </c>
      <c r="M33" s="3">
        <f>'A1 = benzophenone'!$R$138</f>
        <v>8.3426149430315295E-3</v>
      </c>
      <c r="N33" s="6">
        <f>'A1=dibenzosuberone'!Q3</f>
        <v>-2.1508108461782744</v>
      </c>
      <c r="O33" s="6">
        <f>N33++$L$77</f>
        <v>-1.1280135812605723</v>
      </c>
      <c r="P33" s="6">
        <f>'A1=dibenzosuberone'!R3</f>
        <v>4.6586136001018456E-2</v>
      </c>
      <c r="Q33" s="3">
        <f t="shared" si="9"/>
        <v>-0.79591067665670856</v>
      </c>
      <c r="R33" s="3">
        <f t="shared" si="10"/>
        <v>8.3426149430315295E-3</v>
      </c>
      <c r="S33" s="5">
        <f t="shared" si="1"/>
        <v>4.3277035668245967</v>
      </c>
      <c r="T33" s="9"/>
      <c r="U33" s="9"/>
      <c r="V33" s="2" t="s">
        <v>180</v>
      </c>
      <c r="W33" s="2" t="s">
        <v>181</v>
      </c>
      <c r="X33" s="2" t="s">
        <v>36</v>
      </c>
    </row>
    <row r="34" spans="1:24">
      <c r="A34" s="81" t="s">
        <v>182</v>
      </c>
      <c r="B34" s="81" t="s">
        <v>183</v>
      </c>
      <c r="C34" s="81" t="s">
        <v>184</v>
      </c>
      <c r="D34" s="81" t="str">
        <f>'A1 = benzophenone'!A148</f>
        <v>3,3,5-trimethylcyclohexanone(trans)</v>
      </c>
      <c r="E34" s="2" t="s">
        <v>47</v>
      </c>
      <c r="F34" s="1">
        <v>0</v>
      </c>
      <c r="G34" s="2" t="s">
        <v>185</v>
      </c>
      <c r="H34" s="1">
        <v>273</v>
      </c>
      <c r="I34" s="6">
        <f>'A1 = fluorenone'!Q96</f>
        <v>0.46636494039575338</v>
      </c>
      <c r="J34" s="6">
        <f>I34+$L$22</f>
        <v>-1.2829548072988075</v>
      </c>
      <c r="K34" s="6">
        <f>'A1 = fluorenone'!R96</f>
        <v>6.9694410572185783E-2</v>
      </c>
      <c r="L34" s="3">
        <f>'A1 = benzophenone'!Q148</f>
        <v>-1.093032799535838</v>
      </c>
      <c r="M34" s="3">
        <f>'A1 = benzophenone'!R148</f>
        <v>5.8324499429710788E-3</v>
      </c>
      <c r="N34" s="9"/>
      <c r="O34" s="9"/>
      <c r="P34" s="9"/>
      <c r="Q34" s="3">
        <f t="shared" si="9"/>
        <v>-1.093032799535838</v>
      </c>
      <c r="R34" s="3">
        <f t="shared" si="10"/>
        <v>5.8324499429710788E-3</v>
      </c>
      <c r="S34" s="5">
        <f t="shared" si="1"/>
        <v>7.4778949672997728</v>
      </c>
      <c r="T34" s="9"/>
      <c r="U34" s="9"/>
      <c r="V34" s="2" t="s">
        <v>186</v>
      </c>
      <c r="W34" s="2" t="s">
        <v>187</v>
      </c>
      <c r="X34" s="2" t="s">
        <v>36</v>
      </c>
    </row>
    <row r="35" spans="1:24">
      <c r="A35" s="81" t="s">
        <v>188</v>
      </c>
      <c r="B35" s="81" t="s">
        <v>183</v>
      </c>
      <c r="C35" s="81" t="s">
        <v>184</v>
      </c>
      <c r="D35" s="81" t="str">
        <f>'A1 = benzophenone'!A149</f>
        <v>3,3,5-trimethylcyclohexanone(cis)</v>
      </c>
      <c r="E35" s="2" t="s">
        <v>47</v>
      </c>
      <c r="F35" s="1">
        <v>0</v>
      </c>
      <c r="G35" s="2" t="s">
        <v>189</v>
      </c>
      <c r="H35" s="1">
        <v>273</v>
      </c>
      <c r="I35" s="6">
        <f>'A1 = fluorenone'!Q97</f>
        <v>1.1104787092376334</v>
      </c>
      <c r="J35" s="6">
        <f>I35+$L$22</f>
        <v>-0.63884103845692741</v>
      </c>
      <c r="K35" s="6">
        <f>'A1 = fluorenone'!R97</f>
        <v>6.9694410572185797E-2</v>
      </c>
      <c r="L35" s="3">
        <f>'A1 = benzophenone'!Q149</f>
        <v>-0.18361162246935572</v>
      </c>
      <c r="M35" s="3">
        <f>'A1 = benzophenone'!R149</f>
        <v>5.8324499429710797E-3</v>
      </c>
      <c r="N35" s="9"/>
      <c r="O35" s="9"/>
      <c r="P35" s="9"/>
      <c r="Q35" s="3">
        <f t="shared" si="9"/>
        <v>-0.18361162246935572</v>
      </c>
      <c r="R35" s="3">
        <f t="shared" si="10"/>
        <v>5.8324499429710797E-3</v>
      </c>
      <c r="S35" s="5">
        <f t="shared" si="1"/>
        <v>1.4021053063687063</v>
      </c>
      <c r="T35" s="9"/>
      <c r="U35" s="9"/>
      <c r="V35" s="2" t="s">
        <v>186</v>
      </c>
      <c r="W35" s="2" t="s">
        <v>190</v>
      </c>
      <c r="X35" s="2" t="s">
        <v>36</v>
      </c>
    </row>
    <row r="36" spans="1:24">
      <c r="A36" s="81" t="s">
        <v>191</v>
      </c>
      <c r="B36" s="81" t="s">
        <v>192</v>
      </c>
      <c r="C36" s="81" t="s">
        <v>193</v>
      </c>
      <c r="D36" s="81" t="str">
        <f>'A1 = benzophenone'!A150</f>
        <v>4'-chloroacetophenone</v>
      </c>
      <c r="E36" s="2" t="s">
        <v>40</v>
      </c>
      <c r="F36" s="1">
        <v>0</v>
      </c>
      <c r="G36" s="2" t="s">
        <v>194</v>
      </c>
      <c r="H36" s="1">
        <v>273</v>
      </c>
      <c r="I36" s="9"/>
      <c r="J36" s="9"/>
      <c r="K36" s="9"/>
      <c r="L36" s="3">
        <f>'A1 = benzophenone'!Q150</f>
        <v>-0.79047360396963917</v>
      </c>
      <c r="M36" s="3">
        <f>'A1 = benzophenone'!R150</f>
        <v>4.3574910512006473E-2</v>
      </c>
      <c r="N36" s="9"/>
      <c r="O36" s="9"/>
      <c r="P36" s="9"/>
      <c r="Q36" s="3">
        <f t="shared" si="9"/>
        <v>-0.79047360396963917</v>
      </c>
      <c r="R36" s="3">
        <f t="shared" si="10"/>
        <v>4.3574910512006473E-2</v>
      </c>
      <c r="S36" s="5">
        <f t="shared" si="1"/>
        <v>4.2846077106388547</v>
      </c>
      <c r="T36" s="3">
        <v>0.23</v>
      </c>
      <c r="U36" s="9"/>
      <c r="V36" s="2" t="s">
        <v>195</v>
      </c>
      <c r="W36" s="2" t="s">
        <v>196</v>
      </c>
      <c r="X36" s="2" t="s">
        <v>36</v>
      </c>
    </row>
    <row r="37" spans="1:24" ht="14">
      <c r="A37" s="81" t="s">
        <v>197</v>
      </c>
      <c r="B37" s="81" t="s">
        <v>198</v>
      </c>
      <c r="C37" s="81" t="s">
        <v>199</v>
      </c>
      <c r="D37" s="82" t="str">
        <f>'A1 = benzophenone'!A155</f>
        <v>2,2-dimethyl-1-phenylpropan-1-one</v>
      </c>
      <c r="E37" s="2" t="s">
        <v>40</v>
      </c>
      <c r="F37" s="1">
        <v>0</v>
      </c>
      <c r="G37" s="2" t="s">
        <v>200</v>
      </c>
      <c r="H37" s="1">
        <v>273</v>
      </c>
      <c r="I37" s="9"/>
      <c r="J37" s="9"/>
      <c r="K37" s="9"/>
      <c r="L37" s="3">
        <f>'A1 = benzophenone'!Q155</f>
        <v>-0.76726929305244729</v>
      </c>
      <c r="M37" s="3">
        <f>'A1 = benzophenone'!R155</f>
        <v>1.5932872714340695E-2</v>
      </c>
      <c r="N37" s="9"/>
      <c r="O37" s="9"/>
      <c r="P37" s="9"/>
      <c r="Q37" s="3">
        <f t="shared" si="9"/>
        <v>-0.76726929305244729</v>
      </c>
      <c r="R37" s="3">
        <f t="shared" si="10"/>
        <v>1.5932872714340695E-2</v>
      </c>
      <c r="S37" s="5">
        <f t="shared" si="1"/>
        <v>4.1054554999418817</v>
      </c>
      <c r="T37" s="9"/>
      <c r="U37" s="9"/>
      <c r="V37" s="2" t="s">
        <v>201</v>
      </c>
      <c r="W37" s="2" t="s">
        <v>202</v>
      </c>
      <c r="X37" s="2" t="s">
        <v>36</v>
      </c>
    </row>
    <row r="38" spans="1:24">
      <c r="A38" s="81" t="s">
        <v>203</v>
      </c>
      <c r="B38" s="81" t="s">
        <v>204</v>
      </c>
      <c r="C38" s="81" t="s">
        <v>205</v>
      </c>
      <c r="D38" s="81" t="str">
        <f>'A1 = benzophenone'!A160</f>
        <v>3'-chloroacetophenone</v>
      </c>
      <c r="E38" s="2" t="s">
        <v>40</v>
      </c>
      <c r="F38" s="1">
        <v>0</v>
      </c>
      <c r="G38" s="2" t="s">
        <v>206</v>
      </c>
      <c r="H38" s="1">
        <v>273</v>
      </c>
      <c r="I38" s="9"/>
      <c r="J38" s="9"/>
      <c r="K38" s="9"/>
      <c r="L38" s="3">
        <f>'A1 = benzophenone'!$Q$160</f>
        <v>-0.74511058146248288</v>
      </c>
      <c r="M38" s="3">
        <f>'A1 = benzophenone'!$R$160</f>
        <v>7.5521607667582064E-2</v>
      </c>
      <c r="N38" s="9"/>
      <c r="O38" s="9"/>
      <c r="P38" s="9"/>
      <c r="Q38" s="3">
        <f t="shared" si="9"/>
        <v>-0.74511058146248288</v>
      </c>
      <c r="R38" s="3">
        <f t="shared" si="10"/>
        <v>7.5521607667582064E-2</v>
      </c>
      <c r="S38" s="5">
        <f t="shared" si="1"/>
        <v>3.9413726060829899</v>
      </c>
      <c r="T38" s="3">
        <v>0.37</v>
      </c>
      <c r="U38" s="9"/>
      <c r="V38" s="2" t="s">
        <v>207</v>
      </c>
      <c r="W38" s="2" t="s">
        <v>208</v>
      </c>
      <c r="X38" s="2" t="s">
        <v>36</v>
      </c>
    </row>
    <row r="39" spans="1:24">
      <c r="A39" s="81" t="s">
        <v>209</v>
      </c>
      <c r="B39" s="81" t="s">
        <v>210</v>
      </c>
      <c r="C39" s="81" t="s">
        <v>211</v>
      </c>
      <c r="D39" s="82" t="str">
        <f>'A1 = benzophenone'!A165</f>
        <v>dibenzosuberenone</v>
      </c>
      <c r="E39" s="2" t="s">
        <v>54</v>
      </c>
      <c r="F39" s="1">
        <v>0</v>
      </c>
      <c r="G39" s="2" t="s">
        <v>212</v>
      </c>
      <c r="H39" s="1">
        <v>273</v>
      </c>
      <c r="I39" s="9"/>
      <c r="J39" s="9"/>
      <c r="K39" s="9"/>
      <c r="L39" s="3">
        <f>'A1 = benzophenone'!Q165</f>
        <v>-0.57075229732780763</v>
      </c>
      <c r="M39" s="3">
        <f>'A1 = benzophenone'!R165</f>
        <v>7.5487167880696933E-3</v>
      </c>
      <c r="N39" s="9"/>
      <c r="O39" s="9"/>
      <c r="P39" s="9"/>
      <c r="Q39" s="3">
        <f t="shared" si="9"/>
        <v>-0.57075229732780763</v>
      </c>
      <c r="R39" s="3">
        <f t="shared" si="10"/>
        <v>7.5487167880696933E-3</v>
      </c>
      <c r="S39" s="5">
        <f t="shared" ref="S39:S72" si="11">EXP(-Q39/1.99/H39*1000)</f>
        <v>2.8593285139966143</v>
      </c>
      <c r="T39" s="9"/>
      <c r="U39" s="9"/>
      <c r="V39" s="2" t="s">
        <v>213</v>
      </c>
      <c r="W39" s="2" t="s">
        <v>214</v>
      </c>
      <c r="X39" s="2" t="s">
        <v>36</v>
      </c>
    </row>
    <row r="40" spans="1:24">
      <c r="A40" s="81" t="s">
        <v>215</v>
      </c>
      <c r="B40" s="81" t="s">
        <v>216</v>
      </c>
      <c r="C40" s="81" t="s">
        <v>217</v>
      </c>
      <c r="D40" s="82" t="str">
        <f>'A1 = benzophenone'!A175</f>
        <v>2-norbornanone (endo)</v>
      </c>
      <c r="E40" s="2" t="s">
        <v>136</v>
      </c>
      <c r="F40" s="1">
        <v>0</v>
      </c>
      <c r="G40" s="2" t="s">
        <v>218</v>
      </c>
      <c r="H40" s="1">
        <v>273</v>
      </c>
      <c r="I40" s="9"/>
      <c r="J40" s="9"/>
      <c r="K40" s="9"/>
      <c r="L40" s="3">
        <f>'A1 = benzophenone'!Q175</f>
        <v>-0.89850456182978222</v>
      </c>
      <c r="M40" s="3">
        <f>'A1 = benzophenone'!R175</f>
        <v>2.1760665500269265E-2</v>
      </c>
      <c r="N40" s="9"/>
      <c r="O40" s="9"/>
      <c r="P40" s="9"/>
      <c r="Q40" s="3">
        <f t="shared" si="9"/>
        <v>-0.89850456182978222</v>
      </c>
      <c r="R40" s="3">
        <f t="shared" si="10"/>
        <v>2.1760665500269265E-2</v>
      </c>
      <c r="S40" s="5">
        <f t="shared" si="11"/>
        <v>5.2272334518158932</v>
      </c>
      <c r="T40" s="9"/>
      <c r="U40" s="9"/>
      <c r="V40" s="2" t="s">
        <v>219</v>
      </c>
      <c r="W40" s="2" t="s">
        <v>220</v>
      </c>
      <c r="X40" s="2" t="s">
        <v>36</v>
      </c>
    </row>
    <row r="41" spans="1:24">
      <c r="A41" s="81" t="s">
        <v>221</v>
      </c>
      <c r="B41" s="81" t="s">
        <v>216</v>
      </c>
      <c r="C41" s="81" t="s">
        <v>217</v>
      </c>
      <c r="D41" s="82" t="str">
        <f>'A1 = benzophenone'!A176</f>
        <v>2-norbornanone (exo)</v>
      </c>
      <c r="E41" s="2" t="s">
        <v>136</v>
      </c>
      <c r="F41" s="1">
        <v>0</v>
      </c>
      <c r="G41" s="2" t="s">
        <v>222</v>
      </c>
      <c r="H41" s="1">
        <v>273</v>
      </c>
      <c r="I41" s="9"/>
      <c r="J41" s="9"/>
      <c r="K41" s="9"/>
      <c r="L41" s="3">
        <f>'A1 = benzophenone'!Q176</f>
        <v>0.50610940032137908</v>
      </c>
      <c r="M41" s="3">
        <f>'A1 = benzophenone'!R176</f>
        <v>2.1760665500269262E-2</v>
      </c>
      <c r="N41" s="9"/>
      <c r="O41" s="9"/>
      <c r="P41" s="9"/>
      <c r="Q41" s="3">
        <f t="shared" si="9"/>
        <v>0.50610940032137908</v>
      </c>
      <c r="R41" s="3">
        <f t="shared" si="10"/>
        <v>2.1760665500269262E-2</v>
      </c>
      <c r="S41" s="5">
        <f t="shared" si="11"/>
        <v>0.39392360475157884</v>
      </c>
      <c r="T41" s="9"/>
      <c r="U41" s="9"/>
      <c r="V41" s="2" t="s">
        <v>219</v>
      </c>
      <c r="W41" s="2" t="s">
        <v>223</v>
      </c>
      <c r="X41" s="2" t="s">
        <v>36</v>
      </c>
    </row>
    <row r="42" spans="1:24">
      <c r="A42" s="81" t="s">
        <v>224</v>
      </c>
      <c r="B42" s="81" t="s">
        <v>225</v>
      </c>
      <c r="C42" s="81" t="s">
        <v>226</v>
      </c>
      <c r="D42" s="81" t="str">
        <f>'A1 = benzophenone'!A177</f>
        <v>cycloheptanone</v>
      </c>
      <c r="E42" s="2" t="s">
        <v>47</v>
      </c>
      <c r="F42" s="1">
        <v>0</v>
      </c>
      <c r="G42" s="2" t="s">
        <v>227</v>
      </c>
      <c r="H42" s="1">
        <v>273</v>
      </c>
      <c r="I42" s="9"/>
      <c r="J42" s="9"/>
      <c r="K42" s="9"/>
      <c r="L42" s="3">
        <f>'A1 = benzophenone'!$Q$177</f>
        <v>-0.54176151359507507</v>
      </c>
      <c r="M42" s="3">
        <f>'A1 = benzophenone'!$R$177</f>
        <v>1.2068893462010457E-2</v>
      </c>
      <c r="N42" s="9"/>
      <c r="O42" s="9"/>
      <c r="P42" s="9"/>
      <c r="Q42" s="3">
        <f t="shared" si="9"/>
        <v>-0.54176151359507507</v>
      </c>
      <c r="R42" s="3">
        <f t="shared" si="10"/>
        <v>1.2068893462010457E-2</v>
      </c>
      <c r="S42" s="5">
        <f t="shared" si="11"/>
        <v>2.7107445015782536</v>
      </c>
      <c r="T42" s="9"/>
      <c r="U42" s="9"/>
      <c r="V42" s="2" t="s">
        <v>228</v>
      </c>
      <c r="W42" s="2" t="s">
        <v>229</v>
      </c>
      <c r="X42" s="2" t="s">
        <v>36</v>
      </c>
    </row>
    <row r="43" spans="1:24">
      <c r="A43" s="81" t="s">
        <v>230</v>
      </c>
      <c r="B43" s="81" t="s">
        <v>231</v>
      </c>
      <c r="C43" s="81" t="s">
        <v>232</v>
      </c>
      <c r="D43" s="81" t="str">
        <f>'A1 = benzophenone'!A182</f>
        <v>1,1-diphenylacetone</v>
      </c>
      <c r="E43" s="2" t="s">
        <v>32</v>
      </c>
      <c r="F43" s="1">
        <v>0</v>
      </c>
      <c r="G43" s="2" t="s">
        <v>233</v>
      </c>
      <c r="H43" s="1">
        <v>273</v>
      </c>
      <c r="I43" s="9"/>
      <c r="J43" s="9"/>
      <c r="K43" s="9"/>
      <c r="L43" s="3">
        <f>'A1 = benzophenone'!$Q$182</f>
        <v>-0.51806925076742594</v>
      </c>
      <c r="M43" s="3">
        <f>'A1 = benzophenone'!$R$182</f>
        <v>3.3841766578582025E-2</v>
      </c>
      <c r="N43" s="9"/>
      <c r="O43" s="9"/>
      <c r="P43" s="9"/>
      <c r="Q43" s="3">
        <f t="shared" si="9"/>
        <v>-0.51806925076742594</v>
      </c>
      <c r="R43" s="3">
        <f t="shared" si="10"/>
        <v>3.3841766578582025E-2</v>
      </c>
      <c r="S43" s="5">
        <f t="shared" si="11"/>
        <v>2.5950683252688211</v>
      </c>
      <c r="T43" s="9"/>
      <c r="U43" s="9"/>
      <c r="V43" s="2" t="s">
        <v>234</v>
      </c>
      <c r="W43" s="2" t="s">
        <v>151</v>
      </c>
      <c r="X43" s="2" t="s">
        <v>36</v>
      </c>
    </row>
    <row r="44" spans="1:24">
      <c r="A44" s="81" t="s">
        <v>235</v>
      </c>
      <c r="B44" s="81" t="s">
        <v>236</v>
      </c>
      <c r="C44" s="83" t="s">
        <v>237</v>
      </c>
      <c r="D44" s="81" t="str">
        <f>'A1 = benzophenone'!A192</f>
        <v>2'-acetonaphthone</v>
      </c>
      <c r="E44" s="2" t="s">
        <v>32</v>
      </c>
      <c r="F44" s="1">
        <v>0</v>
      </c>
      <c r="G44" s="2" t="s">
        <v>238</v>
      </c>
      <c r="H44" s="1">
        <v>273</v>
      </c>
      <c r="I44" s="9"/>
      <c r="J44" s="9"/>
      <c r="K44" s="9"/>
      <c r="L44" s="3">
        <f>'A1 = benzophenone'!Q192</f>
        <v>-0.48110156036242269</v>
      </c>
      <c r="M44" s="3">
        <f>'A1 = benzophenone'!R192</f>
        <v>7.7381813391895996E-2</v>
      </c>
      <c r="N44" s="9"/>
      <c r="O44" s="9"/>
      <c r="P44" s="9"/>
      <c r="Q44" s="3">
        <f t="shared" si="9"/>
        <v>-0.48110156036242269</v>
      </c>
      <c r="R44" s="3">
        <f t="shared" si="10"/>
        <v>7.7381813391895996E-2</v>
      </c>
      <c r="S44" s="5">
        <f t="shared" si="11"/>
        <v>2.4243567222943181</v>
      </c>
      <c r="T44" s="9"/>
      <c r="U44" s="9"/>
      <c r="V44" s="2" t="s">
        <v>239</v>
      </c>
      <c r="W44" s="2" t="s">
        <v>240</v>
      </c>
      <c r="X44" s="2" t="s">
        <v>36</v>
      </c>
    </row>
    <row r="45" spans="1:24">
      <c r="A45" s="81" t="s">
        <v>241</v>
      </c>
      <c r="B45" s="81" t="s">
        <v>242</v>
      </c>
      <c r="C45" s="81" t="s">
        <v>243</v>
      </c>
      <c r="D45" s="81" t="str">
        <f>'A1 = benzophenone'!A197</f>
        <v>2,2-dimethylcyclopentanone</v>
      </c>
      <c r="E45" s="2" t="s">
        <v>47</v>
      </c>
      <c r="F45" s="1">
        <v>0</v>
      </c>
      <c r="G45" s="2" t="s">
        <v>244</v>
      </c>
      <c r="H45" s="1">
        <v>273</v>
      </c>
      <c r="I45" s="9"/>
      <c r="J45" s="9"/>
      <c r="K45" s="9"/>
      <c r="L45" s="3">
        <f>'A1 = benzophenone'!$Q$197</f>
        <v>-0.47722204770771659</v>
      </c>
      <c r="M45" s="3">
        <f>'A1 = benzophenone'!$R$182</f>
        <v>3.3841766578582025E-2</v>
      </c>
      <c r="N45" s="9"/>
      <c r="O45" s="9"/>
      <c r="P45" s="9"/>
      <c r="Q45" s="3">
        <f t="shared" si="9"/>
        <v>-0.47722204770771659</v>
      </c>
      <c r="R45" s="3">
        <f t="shared" si="10"/>
        <v>3.3841766578582025E-2</v>
      </c>
      <c r="S45" s="5">
        <f t="shared" si="11"/>
        <v>2.4071059621077229</v>
      </c>
      <c r="T45" s="9"/>
      <c r="U45" s="9"/>
      <c r="V45" s="2" t="s">
        <v>245</v>
      </c>
      <c r="W45" s="2" t="s">
        <v>246</v>
      </c>
      <c r="X45" s="2" t="s">
        <v>36</v>
      </c>
    </row>
    <row r="46" spans="1:24" s="112" customFormat="1">
      <c r="A46" s="111" t="s">
        <v>945</v>
      </c>
      <c r="B46" s="111" t="s">
        <v>454</v>
      </c>
      <c r="C46" s="111" t="s">
        <v>455</v>
      </c>
      <c r="D46" s="111" t="str">
        <f>'A1 = benzophenone'!A207</f>
        <v>Bicyclo[2.2.2]hept-5en-2one(exo)</v>
      </c>
      <c r="F46" s="113">
        <v>0</v>
      </c>
      <c r="G46" s="112" t="s">
        <v>874</v>
      </c>
      <c r="H46" s="113">
        <v>273</v>
      </c>
      <c r="I46" s="114"/>
      <c r="J46" s="114"/>
      <c r="K46" s="114"/>
      <c r="L46" s="115">
        <f>'A1 = benzophenone'!Q207</f>
        <v>0.98759771829794918</v>
      </c>
      <c r="M46" s="115">
        <f>'A1 = benzophenone'!R207</f>
        <v>9.0336778921097233E-2</v>
      </c>
      <c r="N46" s="114"/>
      <c r="O46" s="114"/>
      <c r="P46" s="114"/>
      <c r="Q46" s="115">
        <f>L46</f>
        <v>0.98759771829794918</v>
      </c>
      <c r="R46" s="115">
        <f>M46</f>
        <v>9.0336778921097233E-2</v>
      </c>
      <c r="S46" s="116">
        <f>EXP(-Q46/1.99/H46*1000)</f>
        <v>0.16237019248550214</v>
      </c>
      <c r="T46" s="114"/>
      <c r="U46" s="114"/>
      <c r="V46" s="112" t="s">
        <v>453</v>
      </c>
      <c r="W46" s="112" t="s">
        <v>872</v>
      </c>
      <c r="X46" s="112" t="s">
        <v>36</v>
      </c>
    </row>
    <row r="47" spans="1:24" s="112" customFormat="1">
      <c r="A47" s="111" t="s">
        <v>946</v>
      </c>
      <c r="B47" s="111" t="s">
        <v>454</v>
      </c>
      <c r="C47" s="111" t="s">
        <v>455</v>
      </c>
      <c r="D47" s="111" t="str">
        <f>'A1 = benzophenone'!A208</f>
        <v>Bicyclo[2.2.2]hept-5en-2one(endo)</v>
      </c>
      <c r="F47" s="113">
        <v>0</v>
      </c>
      <c r="G47" s="112" t="s">
        <v>875</v>
      </c>
      <c r="H47" s="113">
        <v>273</v>
      </c>
      <c r="I47" s="114"/>
      <c r="J47" s="114"/>
      <c r="K47" s="114"/>
      <c r="L47" s="115">
        <f>'A1 = benzophenone'!Q208</f>
        <v>-0.76681734148503622</v>
      </c>
      <c r="M47" s="115">
        <f>'A1 = benzophenone'!R208</f>
        <v>3.4327492776436205E-3</v>
      </c>
      <c r="N47" s="114"/>
      <c r="O47" s="114"/>
      <c r="P47" s="114"/>
      <c r="Q47" s="115">
        <f>L47</f>
        <v>-0.76681734148503622</v>
      </c>
      <c r="R47" s="115">
        <f>M47</f>
        <v>3.4327492776436205E-3</v>
      </c>
      <c r="S47" s="116">
        <f>EXP(-Q47/1.99/H47*1000)</f>
        <v>4.102041552049271</v>
      </c>
      <c r="T47" s="114"/>
      <c r="U47" s="114"/>
      <c r="V47" s="112" t="s">
        <v>453</v>
      </c>
      <c r="W47" s="112" t="s">
        <v>456</v>
      </c>
      <c r="X47" s="112" t="s">
        <v>36</v>
      </c>
    </row>
    <row r="48" spans="1:24">
      <c r="A48" s="81" t="s">
        <v>247</v>
      </c>
      <c r="B48" s="81" t="s">
        <v>248</v>
      </c>
      <c r="C48" s="81" t="s">
        <v>249</v>
      </c>
      <c r="D48" s="81" t="str">
        <f>'A1 = benzophenone'!A209</f>
        <v>2,2,6-trimethylcyclohexanone (trans)</v>
      </c>
      <c r="E48" s="2" t="s">
        <v>47</v>
      </c>
      <c r="F48" s="1">
        <v>0</v>
      </c>
      <c r="G48" s="2" t="s">
        <v>250</v>
      </c>
      <c r="H48" s="1">
        <v>273</v>
      </c>
      <c r="I48" s="9"/>
      <c r="J48" s="9"/>
      <c r="K48" s="9"/>
      <c r="L48" s="3">
        <f>'A1 = benzophenone'!Q214</f>
        <v>-0.73805892447088095</v>
      </c>
      <c r="M48" s="3">
        <f>'A1 = benzophenone'!R214</f>
        <v>2.7769419237436619E-2</v>
      </c>
      <c r="N48" s="9"/>
      <c r="O48" s="9"/>
      <c r="P48" s="9"/>
      <c r="Q48" s="3">
        <f t="shared" si="9"/>
        <v>-0.73805892447088095</v>
      </c>
      <c r="R48" s="3">
        <f t="shared" si="10"/>
        <v>2.7769419237436619E-2</v>
      </c>
      <c r="S48" s="5">
        <f t="shared" si="11"/>
        <v>3.8905440910330342</v>
      </c>
      <c r="T48" s="9"/>
      <c r="U48" s="9"/>
      <c r="V48" s="2" t="s">
        <v>251</v>
      </c>
      <c r="W48" s="2" t="s">
        <v>252</v>
      </c>
      <c r="X48" s="2" t="s">
        <v>36</v>
      </c>
    </row>
    <row r="49" spans="1:24">
      <c r="A49" s="81" t="s">
        <v>253</v>
      </c>
      <c r="B49" s="81" t="s">
        <v>248</v>
      </c>
      <c r="C49" s="81" t="s">
        <v>249</v>
      </c>
      <c r="D49" s="81" t="str">
        <f>'A1 = benzophenone'!A210</f>
        <v>2,2,6-Trimethylcyclohexanone-2</v>
      </c>
      <c r="E49" s="2" t="s">
        <v>47</v>
      </c>
      <c r="F49" s="1">
        <v>0</v>
      </c>
      <c r="G49" s="2" t="s">
        <v>254</v>
      </c>
      <c r="H49" s="1">
        <v>273</v>
      </c>
      <c r="I49" s="9"/>
      <c r="J49" s="9"/>
      <c r="K49" s="9"/>
      <c r="L49" s="3">
        <f>'A1 = benzophenone'!Q215</f>
        <v>-0.11903846144313808</v>
      </c>
      <c r="M49" s="3">
        <f>'A1 = benzophenone'!R215</f>
        <v>2.7769419237436622E-2</v>
      </c>
      <c r="N49" s="4"/>
      <c r="O49" s="4"/>
      <c r="P49" s="4"/>
      <c r="Q49" s="3">
        <f t="shared" si="9"/>
        <v>-0.11903846144313808</v>
      </c>
      <c r="R49" s="3">
        <f t="shared" si="10"/>
        <v>2.7769419237436622E-2</v>
      </c>
      <c r="S49" s="5">
        <f t="shared" si="11"/>
        <v>1.2449741091305713</v>
      </c>
      <c r="T49" s="9"/>
      <c r="U49" s="9"/>
      <c r="V49" s="2" t="s">
        <v>251</v>
      </c>
      <c r="W49" s="2" t="s">
        <v>255</v>
      </c>
      <c r="X49" s="2" t="s">
        <v>36</v>
      </c>
    </row>
    <row r="50" spans="1:24">
      <c r="A50" s="81" t="s">
        <v>256</v>
      </c>
      <c r="B50" s="81" t="s">
        <v>257</v>
      </c>
      <c r="C50" s="81" t="s">
        <v>258</v>
      </c>
      <c r="D50" s="81" t="str">
        <f>'A1 = benzophenone'!A216</f>
        <v>5-nonanone</v>
      </c>
      <c r="E50" s="2" t="s">
        <v>32</v>
      </c>
      <c r="F50" s="1">
        <v>0</v>
      </c>
      <c r="G50" s="2" t="s">
        <v>259</v>
      </c>
      <c r="H50" s="1">
        <v>273</v>
      </c>
      <c r="I50" s="9"/>
      <c r="J50" s="9"/>
      <c r="K50" s="9"/>
      <c r="L50" s="3">
        <f>'A1 = benzophenone'!$Q$216</f>
        <v>-0.27993769334018254</v>
      </c>
      <c r="M50" s="3">
        <f>'A1 = benzophenone'!$R$216</f>
        <v>1.6499449694767323E-2</v>
      </c>
      <c r="N50" s="6">
        <f>'A1=dibenzosuberone'!Q8</f>
        <v>-1.4010583318747025</v>
      </c>
      <c r="O50" s="6">
        <f>N50++$L$77</f>
        <v>-0.37826106695700035</v>
      </c>
      <c r="P50" s="6">
        <f>'A1=dibenzosuberone'!R8</f>
        <v>6.3806680370101218E-2</v>
      </c>
      <c r="Q50" s="3">
        <f t="shared" si="9"/>
        <v>-0.27993769334018254</v>
      </c>
      <c r="R50" s="3">
        <f t="shared" si="10"/>
        <v>1.6499449694767323E-2</v>
      </c>
      <c r="S50" s="5">
        <f t="shared" si="11"/>
        <v>1.6741118939869357</v>
      </c>
      <c r="T50" s="9"/>
      <c r="U50" s="9"/>
      <c r="V50" s="2" t="s">
        <v>260</v>
      </c>
      <c r="W50" s="2" t="s">
        <v>261</v>
      </c>
      <c r="X50" s="2" t="s">
        <v>36</v>
      </c>
    </row>
    <row r="51" spans="1:24">
      <c r="A51" s="81" t="s">
        <v>262</v>
      </c>
      <c r="B51" s="81" t="s">
        <v>263</v>
      </c>
      <c r="C51" s="81" t="s">
        <v>264</v>
      </c>
      <c r="D51" s="81" t="str">
        <f>'A1 = benzophenone'!A221</f>
        <v>3,3,5,5-tetramethylcyclohexan-1-one</v>
      </c>
      <c r="E51" s="2" t="s">
        <v>47</v>
      </c>
      <c r="F51" s="1">
        <v>0</v>
      </c>
      <c r="G51" s="2" t="s">
        <v>265</v>
      </c>
      <c r="H51" s="1">
        <v>273</v>
      </c>
      <c r="I51" s="9"/>
      <c r="J51" s="9"/>
      <c r="K51" s="9"/>
      <c r="L51" s="3">
        <f>'A1 = benzophenone'!Q221</f>
        <v>-0.27112779951203431</v>
      </c>
      <c r="M51" s="3">
        <f>'A1 = benzophenone'!R221</f>
        <v>1.5661937565849965E-2</v>
      </c>
      <c r="N51" s="9"/>
      <c r="O51" s="9"/>
      <c r="P51" s="9"/>
      <c r="Q51" s="3">
        <f t="shared" si="9"/>
        <v>-0.27112779951203431</v>
      </c>
      <c r="R51" s="3">
        <f t="shared" si="10"/>
        <v>1.5661937565849965E-2</v>
      </c>
      <c r="S51" s="5">
        <f t="shared" si="11"/>
        <v>1.6471827318548387</v>
      </c>
      <c r="T51" s="9"/>
      <c r="U51" s="9"/>
      <c r="V51" s="2" t="s">
        <v>266</v>
      </c>
      <c r="W51" s="2" t="s">
        <v>267</v>
      </c>
      <c r="X51" s="2" t="s">
        <v>36</v>
      </c>
    </row>
    <row r="52" spans="1:24">
      <c r="A52" s="81" t="s">
        <v>268</v>
      </c>
      <c r="B52" s="81" t="s">
        <v>269</v>
      </c>
      <c r="C52" s="81" t="s">
        <v>270</v>
      </c>
      <c r="D52" s="81" t="str">
        <f>'A1 = benzophenone'!A226</f>
        <v>acetophenone</v>
      </c>
      <c r="E52" s="2" t="s">
        <v>40</v>
      </c>
      <c r="F52" s="1">
        <v>0</v>
      </c>
      <c r="G52" s="2" t="s">
        <v>271</v>
      </c>
      <c r="H52" s="1">
        <v>273</v>
      </c>
      <c r="I52" s="9"/>
      <c r="J52" s="9"/>
      <c r="K52" s="9"/>
      <c r="L52" s="3">
        <f>'A1 = benzophenone'!Q226</f>
        <v>-0.25135991559925697</v>
      </c>
      <c r="M52" s="3">
        <f>'A1 = benzophenone'!R226</f>
        <v>1.0378604672673004E-2</v>
      </c>
      <c r="N52" s="9"/>
      <c r="O52" s="9"/>
      <c r="P52" s="9"/>
      <c r="Q52" s="3">
        <f t="shared" si="9"/>
        <v>-0.25135991559925697</v>
      </c>
      <c r="R52" s="3">
        <f t="shared" si="10"/>
        <v>1.0378604672673004E-2</v>
      </c>
      <c r="S52" s="5">
        <f t="shared" si="11"/>
        <v>1.5883242720217841</v>
      </c>
      <c r="T52" s="3">
        <v>0</v>
      </c>
      <c r="U52" s="9"/>
      <c r="V52" s="2" t="s">
        <v>272</v>
      </c>
      <c r="W52" s="2" t="s">
        <v>273</v>
      </c>
      <c r="X52" s="2" t="s">
        <v>36</v>
      </c>
    </row>
    <row r="53" spans="1:24">
      <c r="A53" s="81" t="s">
        <v>274</v>
      </c>
      <c r="B53" s="81" t="s">
        <v>275</v>
      </c>
      <c r="C53" s="81" t="s">
        <v>276</v>
      </c>
      <c r="D53" s="81" t="str">
        <f>'A1 = benzophenone'!A233</f>
        <v>isobutyrophenone</v>
      </c>
      <c r="E53" s="2" t="s">
        <v>40</v>
      </c>
      <c r="F53" s="1">
        <v>0</v>
      </c>
      <c r="G53" s="2" t="s">
        <v>277</v>
      </c>
      <c r="H53" s="1">
        <v>273</v>
      </c>
      <c r="I53" s="6">
        <f>'A1 = fluorenone'!Q103</f>
        <v>1.4096129840437581</v>
      </c>
      <c r="J53" s="6">
        <f>I53+$L$22</f>
        <v>-0.33970676365080266</v>
      </c>
      <c r="K53" s="6">
        <f>'A1 = fluorenone'!R103</f>
        <v>0.18286907618185541</v>
      </c>
      <c r="L53" s="3">
        <f>'A1 = benzophenone'!Q233</f>
        <v>-0.22544926640004398</v>
      </c>
      <c r="M53" s="3">
        <f>'A1 = benzophenone'!R233</f>
        <v>6.1961931810465753E-3</v>
      </c>
      <c r="N53" s="9"/>
      <c r="O53" s="9"/>
      <c r="P53" s="9"/>
      <c r="Q53" s="3">
        <f t="shared" si="9"/>
        <v>-0.22544926640004398</v>
      </c>
      <c r="R53" s="3">
        <f t="shared" si="10"/>
        <v>6.1961931810465753E-3</v>
      </c>
      <c r="S53" s="5">
        <f t="shared" si="11"/>
        <v>1.5143490439821412</v>
      </c>
      <c r="T53" s="9"/>
      <c r="U53" s="9"/>
      <c r="V53" s="2" t="s">
        <v>278</v>
      </c>
      <c r="W53" s="2" t="s">
        <v>279</v>
      </c>
      <c r="X53" s="2" t="s">
        <v>36</v>
      </c>
    </row>
    <row r="54" spans="1:24">
      <c r="A54" s="81" t="s">
        <v>280</v>
      </c>
      <c r="B54" s="81" t="s">
        <v>281</v>
      </c>
      <c r="C54" s="81" t="s">
        <v>282</v>
      </c>
      <c r="D54" s="81" t="str">
        <f>'A1 = benzophenone'!A238</f>
        <v>3'-methylacetophenone</v>
      </c>
      <c r="E54" s="2" t="s">
        <v>40</v>
      </c>
      <c r="F54" s="1">
        <v>0</v>
      </c>
      <c r="G54" s="2" t="s">
        <v>283</v>
      </c>
      <c r="H54" s="1">
        <v>273</v>
      </c>
      <c r="I54" s="9"/>
      <c r="J54" s="9"/>
      <c r="K54" s="9"/>
      <c r="L54" s="3">
        <f>'A1 = benzophenone'!$Q$238</f>
        <v>-0.21064930116823263</v>
      </c>
      <c r="M54" s="3">
        <f>'A1 = benzophenone'!$R$238</f>
        <v>1.5843095949256283E-2</v>
      </c>
      <c r="N54" s="9"/>
      <c r="O54" s="9"/>
      <c r="P54" s="9"/>
      <c r="Q54" s="3">
        <f t="shared" si="9"/>
        <v>-0.21064930116823263</v>
      </c>
      <c r="R54" s="3">
        <f t="shared" si="10"/>
        <v>1.5843095949256283E-2</v>
      </c>
      <c r="S54" s="5">
        <f t="shared" si="11"/>
        <v>1.4736514455445355</v>
      </c>
      <c r="T54" s="3">
        <v>-7.0000000000000007E-2</v>
      </c>
      <c r="U54" s="9"/>
      <c r="V54" s="2" t="s">
        <v>284</v>
      </c>
      <c r="W54" s="2" t="s">
        <v>285</v>
      </c>
      <c r="X54" s="2" t="s">
        <v>36</v>
      </c>
    </row>
    <row r="55" spans="1:24">
      <c r="A55" s="81" t="s">
        <v>286</v>
      </c>
      <c r="B55" s="81" t="s">
        <v>287</v>
      </c>
      <c r="C55" s="81" t="s">
        <v>288</v>
      </c>
      <c r="D55" s="81" t="str">
        <f>'A1 = benzophenone'!A243</f>
        <v>3'-methoxyacetophenone</v>
      </c>
      <c r="E55" s="2" t="s">
        <v>40</v>
      </c>
      <c r="F55" s="1">
        <v>0</v>
      </c>
      <c r="G55" s="2" t="s">
        <v>289</v>
      </c>
      <c r="H55" s="1">
        <v>273</v>
      </c>
      <c r="I55" s="9"/>
      <c r="J55" s="9"/>
      <c r="K55" s="9"/>
      <c r="L55" s="3">
        <f>'A1 = benzophenone'!$Q$243</f>
        <v>-0.20925601464965848</v>
      </c>
      <c r="M55" s="3">
        <f>'A1 = benzophenone'!$R$243</f>
        <v>6.0923011790994068E-2</v>
      </c>
      <c r="N55" s="9"/>
      <c r="O55" s="9"/>
      <c r="P55" s="9"/>
      <c r="Q55" s="3">
        <f t="shared" si="9"/>
        <v>-0.20925601464965848</v>
      </c>
      <c r="R55" s="3">
        <f t="shared" si="10"/>
        <v>6.0923011790994068E-2</v>
      </c>
      <c r="S55" s="5">
        <f t="shared" si="11"/>
        <v>1.469876917099366</v>
      </c>
      <c r="T55" s="2">
        <v>0.12</v>
      </c>
      <c r="U55" s="9"/>
      <c r="V55" s="2" t="s">
        <v>290</v>
      </c>
      <c r="W55" s="2" t="s">
        <v>291</v>
      </c>
      <c r="X55" s="2" t="s">
        <v>36</v>
      </c>
    </row>
    <row r="56" spans="1:24">
      <c r="A56" s="81" t="s">
        <v>292</v>
      </c>
      <c r="B56" s="81" t="s">
        <v>293</v>
      </c>
      <c r="C56" s="81" t="s">
        <v>294</v>
      </c>
      <c r="D56" s="81" t="str">
        <f>'A1 = benzophenone'!A248</f>
        <v>1-indanone</v>
      </c>
      <c r="E56" s="2" t="s">
        <v>54</v>
      </c>
      <c r="F56" s="1">
        <v>0</v>
      </c>
      <c r="G56" s="2" t="s">
        <v>295</v>
      </c>
      <c r="H56" s="1">
        <v>273</v>
      </c>
      <c r="I56" s="9"/>
      <c r="J56" s="9"/>
      <c r="K56" s="9"/>
      <c r="L56" s="3">
        <f>'A1 = benzophenone'!Q248</f>
        <v>-0.19548927390935034</v>
      </c>
      <c r="M56" s="3">
        <f>'A1 = benzophenone'!R248</f>
        <v>7.7939341206728933E-3</v>
      </c>
      <c r="N56" s="9"/>
      <c r="O56" s="9"/>
      <c r="P56" s="9"/>
      <c r="Q56" s="3">
        <f t="shared" si="9"/>
        <v>-0.19548927390935034</v>
      </c>
      <c r="R56" s="3">
        <f t="shared" si="10"/>
        <v>7.7939341206728933E-3</v>
      </c>
      <c r="S56" s="5">
        <f t="shared" si="11"/>
        <v>1.433097454661769</v>
      </c>
      <c r="T56" s="9"/>
      <c r="U56" s="9"/>
      <c r="V56" s="2" t="s">
        <v>296</v>
      </c>
      <c r="W56" s="2" t="s">
        <v>297</v>
      </c>
      <c r="X56" s="2" t="s">
        <v>36</v>
      </c>
    </row>
    <row r="57" spans="1:24">
      <c r="A57" s="81" t="s">
        <v>298</v>
      </c>
      <c r="B57" s="81" t="s">
        <v>299</v>
      </c>
      <c r="C57" s="81" t="s">
        <v>300</v>
      </c>
      <c r="D57" s="81" t="str">
        <f>'A1 = benzophenone'!A253</f>
        <v>propiophenone</v>
      </c>
      <c r="E57" s="2" t="s">
        <v>40</v>
      </c>
      <c r="F57" s="1">
        <v>0</v>
      </c>
      <c r="G57" s="2" t="s">
        <v>301</v>
      </c>
      <c r="H57" s="1">
        <v>273</v>
      </c>
      <c r="I57" s="9"/>
      <c r="J57" s="9"/>
      <c r="K57" s="9"/>
      <c r="L57" s="3">
        <f>'A1 = benzophenone'!Q253</f>
        <v>-0.14005833150374661</v>
      </c>
      <c r="M57" s="3">
        <f>'A1 = benzophenone'!R253</f>
        <v>2.2447383067590245E-3</v>
      </c>
      <c r="N57" s="9"/>
      <c r="O57" s="9"/>
      <c r="P57" s="9"/>
      <c r="Q57" s="3">
        <f t="shared" si="9"/>
        <v>-0.14005833150374661</v>
      </c>
      <c r="R57" s="3">
        <f t="shared" si="10"/>
        <v>2.2447383067590245E-3</v>
      </c>
      <c r="S57" s="5">
        <f t="shared" si="11"/>
        <v>1.2940878981860673</v>
      </c>
      <c r="T57" s="9"/>
      <c r="U57" s="9"/>
      <c r="V57" s="2" t="s">
        <v>302</v>
      </c>
      <c r="W57" s="2" t="s">
        <v>303</v>
      </c>
      <c r="X57" s="2" t="s">
        <v>36</v>
      </c>
    </row>
    <row r="58" spans="1:24">
      <c r="A58" s="81" t="s">
        <v>304</v>
      </c>
      <c r="B58" s="81" t="s">
        <v>305</v>
      </c>
      <c r="C58" s="81" t="s">
        <v>306</v>
      </c>
      <c r="D58" s="81" t="str">
        <f>'A1 = benzophenone'!A258</f>
        <v>cyclobutyl phenyl ketone</v>
      </c>
      <c r="E58" s="2" t="s">
        <v>40</v>
      </c>
      <c r="F58" s="1">
        <v>0</v>
      </c>
      <c r="G58" s="2" t="s">
        <v>307</v>
      </c>
      <c r="H58" s="1">
        <v>273</v>
      </c>
      <c r="I58" s="9"/>
      <c r="J58" s="9"/>
      <c r="K58" s="9"/>
      <c r="L58" s="3">
        <f>'A1 = benzophenone'!Q258</f>
        <v>-9.7409111081969355E-2</v>
      </c>
      <c r="M58" s="3">
        <f>'A1 = benzophenone'!R258</f>
        <v>1.0323635313731384E-2</v>
      </c>
      <c r="N58" s="9"/>
      <c r="O58" s="9"/>
      <c r="P58" s="9"/>
      <c r="Q58" s="3">
        <f t="shared" si="9"/>
        <v>-9.7409111081969355E-2</v>
      </c>
      <c r="R58" s="3">
        <f t="shared" si="10"/>
        <v>1.0323635313731384E-2</v>
      </c>
      <c r="S58" s="5">
        <f t="shared" si="11"/>
        <v>1.1963813661451372</v>
      </c>
      <c r="T58" s="9"/>
      <c r="U58" s="9"/>
      <c r="V58" s="2" t="s">
        <v>308</v>
      </c>
      <c r="W58" s="2" t="s">
        <v>309</v>
      </c>
      <c r="X58" s="2" t="s">
        <v>36</v>
      </c>
    </row>
    <row r="59" spans="1:24">
      <c r="A59" s="81" t="s">
        <v>310</v>
      </c>
      <c r="B59" s="81" t="s">
        <v>311</v>
      </c>
      <c r="C59" s="81" t="s">
        <v>312</v>
      </c>
      <c r="D59" s="81" t="str">
        <f>'A1 = benzophenone'!A263</f>
        <v>1-tetralone</v>
      </c>
      <c r="E59" s="2" t="s">
        <v>54</v>
      </c>
      <c r="F59" s="1">
        <v>0</v>
      </c>
      <c r="G59" s="2" t="s">
        <v>313</v>
      </c>
      <c r="H59" s="1">
        <v>273</v>
      </c>
      <c r="I59" s="9"/>
      <c r="J59" s="9"/>
      <c r="K59" s="9"/>
      <c r="L59" s="3">
        <f>'A1 = benzophenone'!Q263</f>
        <v>-9.3794858799192679E-2</v>
      </c>
      <c r="M59" s="3">
        <f>'A1 = benzophenone'!R263</f>
        <v>7.7946863264225881E-3</v>
      </c>
      <c r="N59" s="9"/>
      <c r="O59" s="9"/>
      <c r="P59" s="9"/>
      <c r="Q59" s="3">
        <f t="shared" si="9"/>
        <v>-9.3794858799192679E-2</v>
      </c>
      <c r="R59" s="3">
        <f t="shared" si="10"/>
        <v>7.7946863264225881E-3</v>
      </c>
      <c r="S59" s="5">
        <f t="shared" si="11"/>
        <v>1.188448528788723</v>
      </c>
      <c r="T59" s="9"/>
      <c r="U59" s="9"/>
      <c r="V59" s="2" t="s">
        <v>314</v>
      </c>
      <c r="W59" s="2" t="s">
        <v>315</v>
      </c>
      <c r="X59" s="2" t="s">
        <v>36</v>
      </c>
    </row>
    <row r="60" spans="1:24" ht="14">
      <c r="A60" s="81" t="s">
        <v>316</v>
      </c>
      <c r="B60" s="81" t="s">
        <v>317</v>
      </c>
      <c r="C60" s="81" t="s">
        <v>318</v>
      </c>
      <c r="D60" s="82" t="str">
        <f>'A1 = benzophenone'!A268</f>
        <v>cyclohexyl phenyl ketone</v>
      </c>
      <c r="E60" s="2" t="s">
        <v>40</v>
      </c>
      <c r="F60" s="1">
        <v>0</v>
      </c>
      <c r="G60" s="2" t="s">
        <v>319</v>
      </c>
      <c r="H60" s="1">
        <v>273</v>
      </c>
      <c r="I60" s="9"/>
      <c r="J60" s="9"/>
      <c r="K60" s="9"/>
      <c r="L60" s="3">
        <f>'A1 = benzophenone'!Q268</f>
        <v>-5.8961159171468512E-2</v>
      </c>
      <c r="M60" s="3">
        <f>'A1 = benzophenone'!R268</f>
        <v>1.055529673211188E-2</v>
      </c>
      <c r="N60" s="9"/>
      <c r="O60" s="9"/>
      <c r="P60" s="9"/>
      <c r="Q60" s="3">
        <f t="shared" si="9"/>
        <v>-5.8961159171468512E-2</v>
      </c>
      <c r="R60" s="3">
        <f t="shared" si="10"/>
        <v>1.055529673211188E-2</v>
      </c>
      <c r="S60" s="5">
        <f t="shared" si="11"/>
        <v>1.1146384827473876</v>
      </c>
      <c r="T60" s="9"/>
      <c r="U60" s="9"/>
      <c r="V60" s="2" t="s">
        <v>320</v>
      </c>
      <c r="W60" s="2" t="s">
        <v>202</v>
      </c>
      <c r="X60" s="2" t="s">
        <v>36</v>
      </c>
    </row>
    <row r="61" spans="1:24">
      <c r="A61" s="81" t="s">
        <v>321</v>
      </c>
      <c r="B61" s="81" t="s">
        <v>322</v>
      </c>
      <c r="C61" s="81" t="s">
        <v>323</v>
      </c>
      <c r="D61" s="81" t="str">
        <f>'A1 = benzophenone'!A273</f>
        <v>valerophenone</v>
      </c>
      <c r="E61" s="2" t="s">
        <v>40</v>
      </c>
      <c r="F61" s="1">
        <v>0</v>
      </c>
      <c r="G61" s="2" t="s">
        <v>324</v>
      </c>
      <c r="H61" s="1">
        <v>273</v>
      </c>
      <c r="I61" s="9"/>
      <c r="J61" s="9"/>
      <c r="K61" s="9"/>
      <c r="L61" s="3">
        <f>'A1 = benzophenone'!Q273</f>
        <v>-5.5832478677398455E-2</v>
      </c>
      <c r="M61" s="3">
        <f>'A1 = benzophenone'!R273</f>
        <v>1.4784853283394263E-3</v>
      </c>
      <c r="N61" s="9"/>
      <c r="O61" s="9"/>
      <c r="P61" s="9"/>
      <c r="Q61" s="3">
        <f t="shared" si="9"/>
        <v>-5.5832478677398455E-2</v>
      </c>
      <c r="R61" s="3">
        <f t="shared" si="10"/>
        <v>1.4784853283394263E-3</v>
      </c>
      <c r="S61" s="5">
        <f t="shared" si="11"/>
        <v>1.1082377517166759</v>
      </c>
      <c r="T61" s="9"/>
      <c r="U61" s="9"/>
      <c r="V61" s="2" t="s">
        <v>325</v>
      </c>
      <c r="W61" s="2" t="s">
        <v>326</v>
      </c>
      <c r="X61" s="2" t="s">
        <v>36</v>
      </c>
    </row>
    <row r="62" spans="1:24">
      <c r="A62" s="81" t="s">
        <v>327</v>
      </c>
      <c r="B62" s="81" t="s">
        <v>328</v>
      </c>
      <c r="C62" s="81" t="s">
        <v>329</v>
      </c>
      <c r="D62" s="81" t="str">
        <f>'A1 = benzophenone'!A278</f>
        <v>butyrophenone</v>
      </c>
      <c r="E62" s="2" t="s">
        <v>40</v>
      </c>
      <c r="F62" s="1">
        <v>0</v>
      </c>
      <c r="G62" s="2" t="s">
        <v>330</v>
      </c>
      <c r="H62" s="1">
        <v>273</v>
      </c>
      <c r="I62" s="9"/>
      <c r="J62" s="9"/>
      <c r="K62" s="9"/>
      <c r="L62" s="3">
        <f>'A1 = benzophenone'!Q278</f>
        <v>-5.2908211395026723E-2</v>
      </c>
      <c r="M62" s="3">
        <f>'A1 = benzophenone'!R278</f>
        <v>6.1331543881259923E-3</v>
      </c>
      <c r="N62" s="9"/>
      <c r="O62" s="9"/>
      <c r="P62" s="9"/>
      <c r="Q62" s="3">
        <f t="shared" si="9"/>
        <v>-5.2908211395026723E-2</v>
      </c>
      <c r="R62" s="3">
        <f t="shared" si="10"/>
        <v>6.1331543881259923E-3</v>
      </c>
      <c r="S62" s="5">
        <f t="shared" si="11"/>
        <v>1.1022884504095738</v>
      </c>
      <c r="T62" s="9"/>
      <c r="U62" s="9"/>
      <c r="V62" s="2" t="s">
        <v>331</v>
      </c>
      <c r="W62" s="2" t="s">
        <v>332</v>
      </c>
      <c r="X62" s="2" t="s">
        <v>36</v>
      </c>
    </row>
    <row r="63" spans="1:24">
      <c r="A63" s="81" t="s">
        <v>333</v>
      </c>
      <c r="B63" s="81" t="s">
        <v>334</v>
      </c>
      <c r="C63" s="81" t="s">
        <v>335</v>
      </c>
      <c r="D63" s="81" t="str">
        <f>'A1 = benzophenone'!A283</f>
        <v>1-benzosuberone</v>
      </c>
      <c r="E63" s="2" t="s">
        <v>54</v>
      </c>
      <c r="F63" s="1">
        <v>0</v>
      </c>
      <c r="G63" s="2" t="s">
        <v>336</v>
      </c>
      <c r="H63" s="1">
        <v>273</v>
      </c>
      <c r="I63" s="9"/>
      <c r="J63" s="9"/>
      <c r="K63" s="9"/>
      <c r="L63" s="3">
        <f>'A1 = benzophenone'!Q283</f>
        <v>-1.3318973386423261E-2</v>
      </c>
      <c r="M63" s="3">
        <f>'A1 = benzophenone'!R283</f>
        <v>4.6307095642986323E-3</v>
      </c>
      <c r="N63" s="9"/>
      <c r="O63" s="9"/>
      <c r="P63" s="9"/>
      <c r="Q63" s="3">
        <f t="shared" si="9"/>
        <v>-1.3318973386423261E-2</v>
      </c>
      <c r="R63" s="3">
        <f t="shared" si="10"/>
        <v>4.6307095642986323E-3</v>
      </c>
      <c r="S63" s="5">
        <f t="shared" si="11"/>
        <v>1.0248193013458871</v>
      </c>
      <c r="T63" s="9"/>
      <c r="U63" s="9"/>
      <c r="V63" s="2" t="s">
        <v>337</v>
      </c>
      <c r="W63" s="2" t="s">
        <v>338</v>
      </c>
      <c r="X63" s="2" t="s">
        <v>36</v>
      </c>
    </row>
    <row r="64" spans="1:24">
      <c r="A64" s="81" t="s">
        <v>339</v>
      </c>
      <c r="B64" s="81" t="s">
        <v>340</v>
      </c>
      <c r="C64" s="81" t="s">
        <v>341</v>
      </c>
      <c r="D64" s="81" t="s">
        <v>342</v>
      </c>
      <c r="E64" s="2" t="s">
        <v>40</v>
      </c>
      <c r="F64" s="1">
        <v>0</v>
      </c>
      <c r="G64" s="2" t="s">
        <v>343</v>
      </c>
      <c r="H64" s="1">
        <v>273</v>
      </c>
      <c r="I64" s="9"/>
      <c r="J64" s="9"/>
      <c r="K64" s="9"/>
      <c r="L64" s="3">
        <v>0</v>
      </c>
      <c r="M64" s="3">
        <v>0</v>
      </c>
      <c r="N64" s="9"/>
      <c r="O64" s="9"/>
      <c r="P64" s="9"/>
      <c r="Q64" s="3">
        <f t="shared" si="9"/>
        <v>0</v>
      </c>
      <c r="R64" s="3">
        <f t="shared" si="10"/>
        <v>0</v>
      </c>
      <c r="S64" s="5">
        <f t="shared" si="11"/>
        <v>1</v>
      </c>
      <c r="T64" s="9"/>
      <c r="U64" s="4">
        <v>119.94</v>
      </c>
      <c r="V64" s="2" t="s">
        <v>344</v>
      </c>
      <c r="W64" s="2" t="s">
        <v>345</v>
      </c>
      <c r="X64" s="2" t="s">
        <v>36</v>
      </c>
    </row>
    <row r="65" spans="1:24">
      <c r="A65" s="81" t="s">
        <v>346</v>
      </c>
      <c r="B65" s="81" t="s">
        <v>347</v>
      </c>
      <c r="C65" s="81" t="s">
        <v>348</v>
      </c>
      <c r="D65" s="81" t="str">
        <f>'A1 = benzophenone'!A288</f>
        <v>4'-methylacetophenone</v>
      </c>
      <c r="E65" s="2" t="s">
        <v>40</v>
      </c>
      <c r="F65" s="1">
        <v>0</v>
      </c>
      <c r="G65" s="2" t="s">
        <v>349</v>
      </c>
      <c r="H65" s="1">
        <v>273</v>
      </c>
      <c r="I65" s="9"/>
      <c r="J65" s="9"/>
      <c r="K65" s="9"/>
      <c r="L65" s="3">
        <f>'A1 = benzophenone'!Q288</f>
        <v>0.15941509968075374</v>
      </c>
      <c r="M65" s="3">
        <f>'A1 = benzophenone'!R288</f>
        <v>1.2523173118559371E-2</v>
      </c>
      <c r="N65" s="9"/>
      <c r="O65" s="9"/>
      <c r="P65" s="9"/>
      <c r="Q65" s="3">
        <f t="shared" si="9"/>
        <v>0.15941509968075374</v>
      </c>
      <c r="R65" s="3">
        <f t="shared" si="10"/>
        <v>1.2523173118559371E-2</v>
      </c>
      <c r="S65" s="5">
        <f t="shared" si="11"/>
        <v>0.74569677579193772</v>
      </c>
      <c r="T65" s="3">
        <v>-0.17</v>
      </c>
      <c r="U65" s="9"/>
      <c r="V65" s="2" t="s">
        <v>350</v>
      </c>
      <c r="W65" s="2" t="s">
        <v>351</v>
      </c>
      <c r="X65" s="2" t="s">
        <v>36</v>
      </c>
    </row>
    <row r="66" spans="1:24">
      <c r="A66" s="81" t="s">
        <v>352</v>
      </c>
      <c r="B66" s="81" t="s">
        <v>353</v>
      </c>
      <c r="C66" s="81" t="s">
        <v>354</v>
      </c>
      <c r="D66" s="81" t="str">
        <f>'A1 = benzophenone'!A293</f>
        <v>cyclopentyl phenyl ketone</v>
      </c>
      <c r="E66" s="2" t="s">
        <v>40</v>
      </c>
      <c r="F66" s="1">
        <v>0</v>
      </c>
      <c r="G66" s="2" t="s">
        <v>355</v>
      </c>
      <c r="H66" s="1">
        <v>273</v>
      </c>
      <c r="I66" s="9"/>
      <c r="J66" s="9"/>
      <c r="K66" s="9"/>
      <c r="L66" s="3">
        <f>'A1 = benzophenone'!$Q$293</f>
        <v>0.16759904265469597</v>
      </c>
      <c r="M66" s="3">
        <f>'A1 = benzophenone'!$R$293</f>
        <v>6.1426670320960004E-3</v>
      </c>
      <c r="N66" s="9"/>
      <c r="O66" s="9"/>
      <c r="P66" s="9"/>
      <c r="Q66" s="3">
        <f t="shared" si="9"/>
        <v>0.16759904265469597</v>
      </c>
      <c r="R66" s="3">
        <f t="shared" si="10"/>
        <v>6.1426670320960004E-3</v>
      </c>
      <c r="S66" s="5">
        <f t="shared" si="11"/>
        <v>0.7345476173487121</v>
      </c>
      <c r="T66" s="9"/>
      <c r="U66" s="9"/>
      <c r="V66" s="2" t="s">
        <v>356</v>
      </c>
      <c r="W66" s="2" t="s">
        <v>357</v>
      </c>
      <c r="X66" s="2" t="s">
        <v>36</v>
      </c>
    </row>
    <row r="67" spans="1:24">
      <c r="A67" s="81" t="s">
        <v>358</v>
      </c>
      <c r="B67" s="81" t="s">
        <v>359</v>
      </c>
      <c r="C67" s="81" t="s">
        <v>360</v>
      </c>
      <c r="D67" s="82" t="str">
        <f>'A1 = benzophenone'!A303</f>
        <v>(-)-menthone (eq)</v>
      </c>
      <c r="E67" s="2" t="s">
        <v>47</v>
      </c>
      <c r="F67" s="1">
        <v>0</v>
      </c>
      <c r="G67" s="2" t="s">
        <v>361</v>
      </c>
      <c r="H67" s="1">
        <v>273</v>
      </c>
      <c r="I67" s="9"/>
      <c r="J67" s="9"/>
      <c r="K67" s="9"/>
      <c r="L67" s="3">
        <f>'A1 = benzophenone'!Q303</f>
        <v>9.801063165382129E-2</v>
      </c>
      <c r="M67" s="3">
        <f>'A1 = benzophenone'!R303</f>
        <v>5.940729546716305E-2</v>
      </c>
      <c r="N67" s="9"/>
      <c r="O67" s="9"/>
      <c r="P67" s="9"/>
      <c r="Q67" s="3">
        <f t="shared" si="9"/>
        <v>9.801063165382129E-2</v>
      </c>
      <c r="R67" s="3">
        <f t="shared" si="10"/>
        <v>5.940729546716305E-2</v>
      </c>
      <c r="S67" s="5">
        <f t="shared" si="11"/>
        <v>0.8349289105221267</v>
      </c>
      <c r="T67" s="9"/>
      <c r="U67" s="9"/>
      <c r="V67" s="2" t="s">
        <v>362</v>
      </c>
      <c r="W67" s="2" t="s">
        <v>363</v>
      </c>
      <c r="X67" s="2" t="s">
        <v>36</v>
      </c>
    </row>
    <row r="68" spans="1:24">
      <c r="A68" s="81" t="s">
        <v>364</v>
      </c>
      <c r="B68" s="81" t="s">
        <v>359</v>
      </c>
      <c r="C68" s="81" t="s">
        <v>360</v>
      </c>
      <c r="D68" s="82" t="str">
        <f>'A1 = benzophenone'!A304</f>
        <v>(-)-menthone (ax)</v>
      </c>
      <c r="E68" s="2" t="s">
        <v>47</v>
      </c>
      <c r="F68" s="1">
        <v>0</v>
      </c>
      <c r="G68" s="2" t="s">
        <v>365</v>
      </c>
      <c r="H68" s="1">
        <v>273</v>
      </c>
      <c r="I68" s="9"/>
      <c r="J68" s="9"/>
      <c r="K68" s="9"/>
      <c r="L68" s="3">
        <f>'A1 = benzophenone'!Q304</f>
        <v>0.27700679725184801</v>
      </c>
      <c r="M68" s="3">
        <f>'A1 = benzophenone'!R304</f>
        <v>5.9407295467163043E-2</v>
      </c>
      <c r="N68" s="9"/>
      <c r="O68" s="9"/>
      <c r="P68" s="9"/>
      <c r="Q68" s="3">
        <f t="shared" si="9"/>
        <v>0.27700679725184801</v>
      </c>
      <c r="R68" s="3">
        <f t="shared" si="10"/>
        <v>5.9407295467163043E-2</v>
      </c>
      <c r="S68" s="5">
        <f t="shared" si="11"/>
        <v>0.60056290055100348</v>
      </c>
      <c r="T68" s="9"/>
      <c r="U68" s="9"/>
      <c r="V68" s="2" t="s">
        <v>362</v>
      </c>
      <c r="W68" s="2" t="s">
        <v>366</v>
      </c>
      <c r="X68" s="2" t="s">
        <v>36</v>
      </c>
    </row>
    <row r="69" spans="1:24" ht="16">
      <c r="A69" s="81" t="s">
        <v>367</v>
      </c>
      <c r="B69" s="81" t="s">
        <v>353</v>
      </c>
      <c r="C69" s="84" t="s">
        <v>368</v>
      </c>
      <c r="D69" s="82" t="str">
        <f>'A1 = benzophenone'!A305</f>
        <v>cyclopropyl phenyl ketone</v>
      </c>
      <c r="E69" s="2" t="s">
        <v>40</v>
      </c>
      <c r="F69" s="1">
        <v>0</v>
      </c>
      <c r="G69" s="2" t="s">
        <v>369</v>
      </c>
      <c r="H69" s="1">
        <v>273</v>
      </c>
      <c r="I69" s="9"/>
      <c r="J69" s="9"/>
      <c r="K69" s="9"/>
      <c r="L69" s="3">
        <f>'A1 = benzophenone'!Q305</f>
        <v>0.21261912510977535</v>
      </c>
      <c r="M69" s="3">
        <f>'A1 = benzophenone'!R305</f>
        <v>2.2413270731045456E-2</v>
      </c>
      <c r="N69" s="9"/>
      <c r="O69" s="9"/>
      <c r="P69" s="9"/>
      <c r="Q69" s="3">
        <f t="shared" si="9"/>
        <v>0.21261912510977535</v>
      </c>
      <c r="R69" s="3">
        <f t="shared" si="10"/>
        <v>2.2413270731045456E-2</v>
      </c>
      <c r="S69" s="5">
        <f t="shared" si="11"/>
        <v>0.67613050768620941</v>
      </c>
      <c r="T69" s="9"/>
      <c r="U69" s="9"/>
      <c r="V69" s="2" t="s">
        <v>370</v>
      </c>
      <c r="W69" s="2" t="s">
        <v>371</v>
      </c>
      <c r="X69" s="2" t="s">
        <v>36</v>
      </c>
    </row>
    <row r="70" spans="1:24">
      <c r="A70" s="81" t="s">
        <v>372</v>
      </c>
      <c r="B70" s="81" t="s">
        <v>373</v>
      </c>
      <c r="C70" s="81" t="s">
        <v>374</v>
      </c>
      <c r="D70" s="81" t="str">
        <f>'A1 = benzophenone'!A310</f>
        <v>cyclooctanone</v>
      </c>
      <c r="E70" s="2" t="s">
        <v>47</v>
      </c>
      <c r="F70" s="1">
        <v>0</v>
      </c>
      <c r="G70" s="2" t="s">
        <v>375</v>
      </c>
      <c r="H70" s="1">
        <v>273</v>
      </c>
      <c r="I70" s="9"/>
      <c r="J70" s="9"/>
      <c r="K70" s="9"/>
      <c r="L70" s="3">
        <f>'A1 = benzophenone'!$Q$310</f>
        <v>0.27597833941084138</v>
      </c>
      <c r="M70" s="3">
        <f>'A1 = benzophenone'!$R$310</f>
        <v>4.7364214861969805E-3</v>
      </c>
      <c r="N70" s="9"/>
      <c r="O70" s="9"/>
      <c r="P70" s="9"/>
      <c r="Q70" s="3">
        <f t="shared" si="9"/>
        <v>0.27597833941084138</v>
      </c>
      <c r="R70" s="3">
        <f t="shared" si="10"/>
        <v>4.7364214861969805E-3</v>
      </c>
      <c r="S70" s="5">
        <f t="shared" si="11"/>
        <v>0.60170089570898189</v>
      </c>
      <c r="T70" s="9"/>
      <c r="U70" s="9"/>
      <c r="V70" s="2" t="s">
        <v>376</v>
      </c>
      <c r="W70" s="2" t="s">
        <v>377</v>
      </c>
      <c r="X70" s="2" t="s">
        <v>36</v>
      </c>
    </row>
    <row r="71" spans="1:24" ht="14">
      <c r="A71" s="81" t="s">
        <v>378</v>
      </c>
      <c r="B71" s="81" t="s">
        <v>379</v>
      </c>
      <c r="C71" s="81" t="s">
        <v>380</v>
      </c>
      <c r="D71" s="81" t="str">
        <f>'A1 = benzophenone'!A320</f>
        <v>2-cyclopentylcyclopentanone(trans)</v>
      </c>
      <c r="E71" s="2" t="s">
        <v>47</v>
      </c>
      <c r="F71" s="1">
        <v>0</v>
      </c>
      <c r="G71" s="2" t="s">
        <v>381</v>
      </c>
      <c r="H71" s="1">
        <v>273</v>
      </c>
      <c r="I71" s="9"/>
      <c r="J71" s="9"/>
      <c r="K71" s="9"/>
      <c r="L71" s="3">
        <f>'A1 = benzophenone'!Q320</f>
        <v>0.33594809042257961</v>
      </c>
      <c r="M71" s="3">
        <f>'A1 = benzophenone'!R320</f>
        <v>1.6528023192982653E-2</v>
      </c>
      <c r="N71" s="9"/>
      <c r="O71" s="9"/>
      <c r="P71" s="9"/>
      <c r="Q71" s="3">
        <f t="shared" si="9"/>
        <v>0.33594809042257961</v>
      </c>
      <c r="R71" s="3">
        <f t="shared" si="10"/>
        <v>1.6528023192982653E-2</v>
      </c>
      <c r="S71" s="5">
        <f t="shared" si="11"/>
        <v>0.53881583249166576</v>
      </c>
      <c r="T71" s="9"/>
      <c r="U71" s="9"/>
      <c r="V71" s="2" t="s">
        <v>382</v>
      </c>
      <c r="W71" s="69" t="s">
        <v>383</v>
      </c>
      <c r="X71" s="2" t="s">
        <v>36</v>
      </c>
    </row>
    <row r="72" spans="1:24" ht="14">
      <c r="A72" s="81" t="s">
        <v>384</v>
      </c>
      <c r="B72" s="81" t="s">
        <v>379</v>
      </c>
      <c r="C72" s="81" t="s">
        <v>380</v>
      </c>
      <c r="D72" s="81" t="str">
        <f>'A1 = benzophenone'!A321</f>
        <v>2-cyclopentylcyclopentanone(cis)</v>
      </c>
      <c r="E72" s="2" t="s">
        <v>47</v>
      </c>
      <c r="F72" s="1">
        <v>0</v>
      </c>
      <c r="G72" s="2" t="s">
        <v>385</v>
      </c>
      <c r="H72" s="1">
        <v>273</v>
      </c>
      <c r="I72" s="9"/>
      <c r="J72" s="9"/>
      <c r="K72" s="9"/>
      <c r="L72" s="3">
        <f>'A1 = benzophenone'!Q321</f>
        <v>0.3581254553855987</v>
      </c>
      <c r="M72" s="3">
        <f>'A1 = benzophenone'!R321</f>
        <v>1.6528023192982657E-2</v>
      </c>
      <c r="N72" s="9"/>
      <c r="O72" s="9"/>
      <c r="P72" s="9"/>
      <c r="Q72" s="3">
        <f t="shared" si="9"/>
        <v>0.3581254553855987</v>
      </c>
      <c r="R72" s="3">
        <f t="shared" si="10"/>
        <v>1.6528023192982657E-2</v>
      </c>
      <c r="S72" s="5">
        <f t="shared" si="11"/>
        <v>0.51726319919199903</v>
      </c>
      <c r="T72" s="9"/>
      <c r="U72" s="9"/>
      <c r="V72" s="2" t="s">
        <v>386</v>
      </c>
      <c r="W72" s="69" t="s">
        <v>383</v>
      </c>
      <c r="X72" s="2" t="s">
        <v>36</v>
      </c>
    </row>
    <row r="73" spans="1:24">
      <c r="A73" s="81" t="s">
        <v>387</v>
      </c>
      <c r="B73" s="81" t="s">
        <v>388</v>
      </c>
      <c r="C73" s="81" t="s">
        <v>389</v>
      </c>
      <c r="D73" s="81" t="str">
        <f>'A1 = benzophenone'!A327</f>
        <v>cyclododecanone</v>
      </c>
      <c r="E73" s="2" t="s">
        <v>47</v>
      </c>
      <c r="F73" s="1">
        <v>0</v>
      </c>
      <c r="G73" s="2" t="s">
        <v>390</v>
      </c>
      <c r="H73" s="1">
        <v>273</v>
      </c>
      <c r="I73" s="9"/>
      <c r="J73" s="9"/>
      <c r="K73" s="9"/>
      <c r="L73" s="3">
        <f>'A1 = benzophenone'!Q327</f>
        <v>0.50966129233121982</v>
      </c>
      <c r="M73" s="3">
        <f>'A1 = benzophenone'!R327</f>
        <v>1.9351204482733256E-2</v>
      </c>
      <c r="N73" s="9"/>
      <c r="O73" s="9"/>
      <c r="P73" s="9"/>
      <c r="Q73" s="3">
        <f t="shared" si="9"/>
        <v>0.50966129233121982</v>
      </c>
      <c r="R73" s="3">
        <f t="shared" si="10"/>
        <v>1.9351204482733256E-2</v>
      </c>
      <c r="S73" s="5">
        <f t="shared" ref="S73:S86" si="12">EXP(-Q73/1.99/H73*1000)</f>
        <v>0.39135653834788381</v>
      </c>
      <c r="T73" s="9"/>
      <c r="U73" s="9"/>
      <c r="V73" s="2" t="s">
        <v>391</v>
      </c>
      <c r="W73" s="2" t="s">
        <v>392</v>
      </c>
      <c r="X73" s="2" t="s">
        <v>36</v>
      </c>
    </row>
    <row r="74" spans="1:24">
      <c r="A74" s="81" t="s">
        <v>393</v>
      </c>
      <c r="B74" s="81" t="s">
        <v>394</v>
      </c>
      <c r="C74" s="81" t="s">
        <v>395</v>
      </c>
      <c r="D74" s="81" t="str">
        <f>'A1 = benzophenone'!A332</f>
        <v>4'-methoxyacetophenone</v>
      </c>
      <c r="E74" s="2" t="s">
        <v>40</v>
      </c>
      <c r="F74" s="1">
        <v>0</v>
      </c>
      <c r="G74" s="2" t="s">
        <v>396</v>
      </c>
      <c r="H74" s="1">
        <v>273</v>
      </c>
      <c r="I74" s="9"/>
      <c r="J74" s="9"/>
      <c r="K74" s="9"/>
      <c r="L74" s="3">
        <f>'A1 = benzophenone'!Q332</f>
        <v>0.56060685456790815</v>
      </c>
      <c r="M74" s="3">
        <f>'A1 = benzophenone'!R332</f>
        <v>1.7849708664943273E-2</v>
      </c>
      <c r="N74" s="9"/>
      <c r="O74" s="9"/>
      <c r="P74" s="9"/>
      <c r="Q74" s="3">
        <f t="shared" si="9"/>
        <v>0.56060685456790815</v>
      </c>
      <c r="R74" s="3">
        <f t="shared" si="10"/>
        <v>1.7849708664943273E-2</v>
      </c>
      <c r="S74" s="5">
        <f t="shared" si="12"/>
        <v>0.35632500076322748</v>
      </c>
      <c r="T74" s="3">
        <v>-0.27</v>
      </c>
      <c r="U74" s="9"/>
      <c r="V74" s="2" t="s">
        <v>397</v>
      </c>
      <c r="W74" s="2" t="s">
        <v>398</v>
      </c>
      <c r="X74" s="2" t="s">
        <v>36</v>
      </c>
    </row>
    <row r="75" spans="1:24" ht="14">
      <c r="A75" s="81" t="s">
        <v>399</v>
      </c>
      <c r="B75" s="81" t="s">
        <v>400</v>
      </c>
      <c r="C75" s="81" t="s">
        <v>401</v>
      </c>
      <c r="D75" s="81" t="str">
        <f>'A1 = benzophenone'!A337</f>
        <v>isovalerophenone</v>
      </c>
      <c r="E75" s="2" t="s">
        <v>40</v>
      </c>
      <c r="F75" s="1">
        <v>0</v>
      </c>
      <c r="G75" s="2" t="s">
        <v>402</v>
      </c>
      <c r="H75" s="1">
        <v>273</v>
      </c>
      <c r="I75" s="9"/>
      <c r="J75" s="9"/>
      <c r="K75" s="9"/>
      <c r="L75" s="3">
        <f>'A1 = benzophenone'!Q337</f>
        <v>0.56503561734055274</v>
      </c>
      <c r="M75" s="3">
        <f>'A1 = benzophenone'!R337</f>
        <v>8.7546861185199554E-3</v>
      </c>
      <c r="N75" s="9"/>
      <c r="O75" s="9"/>
      <c r="P75" s="9"/>
      <c r="Q75" s="3">
        <f t="shared" si="9"/>
        <v>0.56503561734055274</v>
      </c>
      <c r="R75" s="3">
        <f t="shared" si="10"/>
        <v>8.7546861185199554E-3</v>
      </c>
      <c r="S75" s="5">
        <f t="shared" si="12"/>
        <v>0.35343203031651654</v>
      </c>
      <c r="T75" s="9"/>
      <c r="U75" s="9"/>
      <c r="V75" s="2" t="s">
        <v>403</v>
      </c>
      <c r="W75" s="69" t="s">
        <v>404</v>
      </c>
      <c r="X75" s="2" t="s">
        <v>36</v>
      </c>
    </row>
    <row r="76" spans="1:24">
      <c r="A76" s="81" t="s">
        <v>405</v>
      </c>
      <c r="B76" s="81" t="s">
        <v>406</v>
      </c>
      <c r="C76" s="81" t="s">
        <v>407</v>
      </c>
      <c r="D76" s="81" t="str">
        <f>'A1 = benzophenone'!A342</f>
        <v>dicyclohexylketone</v>
      </c>
      <c r="E76" s="2" t="s">
        <v>32</v>
      </c>
      <c r="F76" s="1">
        <v>0</v>
      </c>
      <c r="G76" s="2" t="s">
        <v>408</v>
      </c>
      <c r="H76" s="1">
        <v>273</v>
      </c>
      <c r="I76" s="9"/>
      <c r="J76" s="9"/>
      <c r="K76" s="9"/>
      <c r="L76" s="3">
        <f>'A1 = benzophenone'!Q342</f>
        <v>0.8026917544773513</v>
      </c>
      <c r="M76" s="3">
        <f>'A1 = benzophenone'!R342</f>
        <v>4.0987521313465093E-2</v>
      </c>
      <c r="N76" s="9"/>
      <c r="O76" s="9"/>
      <c r="P76" s="9"/>
      <c r="Q76" s="3">
        <f t="shared" si="9"/>
        <v>0.8026917544773513</v>
      </c>
      <c r="R76" s="3">
        <f t="shared" si="10"/>
        <v>4.0987521313465093E-2</v>
      </c>
      <c r="S76" s="5">
        <f t="shared" si="12"/>
        <v>0.22820315557823012</v>
      </c>
      <c r="T76" s="9"/>
      <c r="U76" s="9"/>
      <c r="V76" s="2" t="s">
        <v>409</v>
      </c>
      <c r="W76" s="2" t="s">
        <v>410</v>
      </c>
      <c r="X76" s="2" t="s">
        <v>36</v>
      </c>
    </row>
    <row r="77" spans="1:24">
      <c r="A77" s="81" t="s">
        <v>411</v>
      </c>
      <c r="B77" s="81" t="s">
        <v>412</v>
      </c>
      <c r="C77" s="81" t="s">
        <v>413</v>
      </c>
      <c r="D77" s="81" t="str">
        <f>'A1 = benzophenone'!A347</f>
        <v>dibenzosuberone</v>
      </c>
      <c r="E77" s="2" t="s">
        <v>54</v>
      </c>
      <c r="F77" s="1">
        <v>0</v>
      </c>
      <c r="G77" s="2" t="s">
        <v>414</v>
      </c>
      <c r="H77" s="1">
        <v>273</v>
      </c>
      <c r="I77" s="9"/>
      <c r="J77" s="9"/>
      <c r="K77" s="9"/>
      <c r="L77" s="3">
        <f>'A1 = benzophenone'!Q347</f>
        <v>1.0227972649177022</v>
      </c>
      <c r="M77" s="3">
        <f>'A1 = benzophenone'!R347</f>
        <v>1.831092539986745E-2</v>
      </c>
      <c r="N77" s="9"/>
      <c r="O77" s="9"/>
      <c r="P77" s="9"/>
      <c r="Q77" s="3">
        <f t="shared" si="9"/>
        <v>1.0227972649177022</v>
      </c>
      <c r="R77" s="3">
        <f t="shared" si="10"/>
        <v>1.831092539986745E-2</v>
      </c>
      <c r="S77" s="5">
        <f t="shared" si="12"/>
        <v>0.15218347617361344</v>
      </c>
      <c r="T77" s="9"/>
      <c r="U77" s="4">
        <v>124.85</v>
      </c>
      <c r="V77" s="2" t="s">
        <v>415</v>
      </c>
      <c r="W77" s="2" t="s">
        <v>416</v>
      </c>
      <c r="X77" s="2" t="s">
        <v>36</v>
      </c>
    </row>
    <row r="78" spans="1:24">
      <c r="A78" s="81" t="s">
        <v>417</v>
      </c>
      <c r="B78" s="81" t="s">
        <v>418</v>
      </c>
      <c r="C78" s="81" t="s">
        <v>419</v>
      </c>
      <c r="D78" s="81" t="str">
        <f>'A1=dibenzosuberone'!A13</f>
        <v>2,6-dimethyl-4-heptanone</v>
      </c>
      <c r="E78" s="2" t="s">
        <v>32</v>
      </c>
      <c r="F78" s="1">
        <v>0</v>
      </c>
      <c r="G78" s="2" t="s">
        <v>420</v>
      </c>
      <c r="H78" s="1">
        <v>273</v>
      </c>
      <c r="I78" s="9"/>
      <c r="J78" s="9"/>
      <c r="K78" s="9"/>
      <c r="L78" s="9"/>
      <c r="M78" s="9"/>
      <c r="N78" s="3">
        <f>'A1=dibenzosuberone'!Q13</f>
        <v>0.30764887632644522</v>
      </c>
      <c r="O78" s="3">
        <f>N78+$L$77</f>
        <v>1.3304461412441473</v>
      </c>
      <c r="P78" s="3">
        <f>'A1=dibenzosuberone'!R13</f>
        <v>4.1265798498427347E-2</v>
      </c>
      <c r="Q78" s="137">
        <f>O78</f>
        <v>1.3304461412441473</v>
      </c>
      <c r="R78" s="3">
        <f>P78</f>
        <v>4.1265798498427347E-2</v>
      </c>
      <c r="S78" s="5">
        <f t="shared" si="12"/>
        <v>8.6383435430355232E-2</v>
      </c>
      <c r="T78" s="9"/>
      <c r="U78" s="9"/>
      <c r="V78" s="2" t="s">
        <v>421</v>
      </c>
      <c r="W78" s="2" t="s">
        <v>214</v>
      </c>
      <c r="X78" s="2" t="s">
        <v>36</v>
      </c>
    </row>
    <row r="79" spans="1:24" s="112" customFormat="1">
      <c r="A79" s="111" t="s">
        <v>922</v>
      </c>
      <c r="B79" s="111" t="s">
        <v>924</v>
      </c>
      <c r="C79" s="111" t="s">
        <v>925</v>
      </c>
      <c r="D79" s="111" t="s">
        <v>909</v>
      </c>
      <c r="F79" s="113">
        <v>0</v>
      </c>
      <c r="G79" s="112" t="s">
        <v>911</v>
      </c>
      <c r="H79" s="113">
        <v>273</v>
      </c>
      <c r="I79" s="114"/>
      <c r="J79" s="115"/>
      <c r="K79" s="114"/>
      <c r="L79" s="115">
        <f>'A1 = benzophenone'!Q352</f>
        <v>1.8676716423900361</v>
      </c>
      <c r="M79" s="115">
        <f>'A1 = benzophenone'!R352</f>
        <v>4.1052116024208739E-2</v>
      </c>
      <c r="N79" s="114"/>
      <c r="O79" s="114"/>
      <c r="P79" s="114"/>
      <c r="Q79" s="115">
        <f>L79</f>
        <v>1.8676716423900361</v>
      </c>
      <c r="R79" s="115">
        <f>M79</f>
        <v>4.1052116024208739E-2</v>
      </c>
      <c r="S79" s="116">
        <f t="shared" si="12"/>
        <v>3.2134238424920518E-2</v>
      </c>
      <c r="T79" s="114"/>
      <c r="U79" s="114"/>
      <c r="V79" s="112" t="s">
        <v>928</v>
      </c>
      <c r="W79" s="117" t="s">
        <v>930</v>
      </c>
    </row>
    <row r="80" spans="1:24" s="140" customFormat="1">
      <c r="A80" s="111"/>
      <c r="B80" s="139"/>
      <c r="C80" s="111"/>
      <c r="D80" s="111" t="str">
        <f>'A1 = benzophenone'!A357</f>
        <v>2'-aminoacetophenone</v>
      </c>
      <c r="F80" s="113">
        <v>0</v>
      </c>
      <c r="G80" s="112" t="s">
        <v>949</v>
      </c>
      <c r="H80" s="113">
        <v>273</v>
      </c>
      <c r="I80" s="142"/>
      <c r="J80" s="142"/>
      <c r="K80" s="142"/>
      <c r="L80" s="115">
        <f>'A1 = benzophenone'!Q357</f>
        <v>1.9652069632117553</v>
      </c>
      <c r="M80" s="115">
        <f>'A1 = benzophenone'!R357</f>
        <v>1.4525664681178847E-2</v>
      </c>
      <c r="N80" s="142"/>
      <c r="O80" s="142"/>
      <c r="P80" s="142"/>
      <c r="Q80" s="115">
        <f>L80</f>
        <v>1.9652069632117553</v>
      </c>
      <c r="R80" s="143">
        <f>M80</f>
        <v>1.4525664681178847E-2</v>
      </c>
      <c r="S80" s="116">
        <f t="shared" si="12"/>
        <v>2.6853288539345817E-2</v>
      </c>
      <c r="T80" s="142"/>
      <c r="U80" s="142"/>
      <c r="V80" s="112"/>
      <c r="W80" s="145"/>
    </row>
    <row r="81" spans="1:24">
      <c r="A81" s="81" t="s">
        <v>422</v>
      </c>
      <c r="B81" s="81" t="s">
        <v>423</v>
      </c>
      <c r="C81" s="81" t="s">
        <v>424</v>
      </c>
      <c r="D81" s="82" t="str">
        <f>'A1=dibenzosuberone'!A18</f>
        <v>10,10-Dimethylanthracen-9(10H)-one</v>
      </c>
      <c r="E81" s="2" t="s">
        <v>54</v>
      </c>
      <c r="F81" s="1">
        <v>0</v>
      </c>
      <c r="G81" s="2" t="s">
        <v>425</v>
      </c>
      <c r="H81" s="1">
        <v>273</v>
      </c>
      <c r="I81" s="9"/>
      <c r="J81" s="9"/>
      <c r="K81" s="9"/>
      <c r="L81" s="9"/>
      <c r="M81" s="9"/>
      <c r="N81" s="3">
        <f>'A1=dibenzosuberone'!Q18</f>
        <v>1.1567900398418001</v>
      </c>
      <c r="O81" s="3">
        <f t="shared" ref="O81:O85" si="13">N81+$L$77</f>
        <v>2.1795873047595022</v>
      </c>
      <c r="P81" s="3">
        <f>'A1=dibenzosuberone'!R18</f>
        <v>8.9619062825407152E-3</v>
      </c>
      <c r="Q81" s="137">
        <f>O81</f>
        <v>2.1795873047595022</v>
      </c>
      <c r="R81" s="3">
        <f t="shared" ref="R81:R85" si="14">P81</f>
        <v>8.9619062825407152E-3</v>
      </c>
      <c r="S81" s="5">
        <f t="shared" si="12"/>
        <v>1.8097562274656375E-2</v>
      </c>
      <c r="T81" s="9"/>
      <c r="U81" s="9"/>
      <c r="V81" s="2" t="s">
        <v>426</v>
      </c>
      <c r="W81" s="2" t="s">
        <v>427</v>
      </c>
      <c r="X81" s="2" t="s">
        <v>36</v>
      </c>
    </row>
    <row r="82" spans="1:24">
      <c r="A82" s="81" t="s">
        <v>428</v>
      </c>
      <c r="B82" s="81" t="s">
        <v>429</v>
      </c>
      <c r="C82" s="81" t="s">
        <v>430</v>
      </c>
      <c r="D82" s="81" t="str">
        <f>'A1=dibenzosuberone'!A28</f>
        <v>camphor (exo)</v>
      </c>
      <c r="E82" s="2" t="s">
        <v>136</v>
      </c>
      <c r="F82" s="1">
        <v>0</v>
      </c>
      <c r="G82" s="2" t="s">
        <v>431</v>
      </c>
      <c r="H82" s="1">
        <v>273</v>
      </c>
      <c r="I82" s="9"/>
      <c r="J82" s="9"/>
      <c r="K82" s="9"/>
      <c r="L82" s="9"/>
      <c r="M82" s="9"/>
      <c r="N82" s="3">
        <f>'A1=dibenzosuberone'!Q28</f>
        <v>1.1469336266091348</v>
      </c>
      <c r="O82" s="3">
        <f t="shared" si="13"/>
        <v>2.1697308915268367</v>
      </c>
      <c r="P82" s="3">
        <f>'A1=dibenzosuberone'!R28</f>
        <v>1.1778205080895226E-2</v>
      </c>
      <c r="Q82" s="137">
        <f t="shared" ref="Q82:Q85" si="15">O82</f>
        <v>2.1697308915268367</v>
      </c>
      <c r="R82" s="3">
        <f t="shared" si="14"/>
        <v>1.1778205080895226E-2</v>
      </c>
      <c r="S82" s="5">
        <f t="shared" si="12"/>
        <v>1.8428898457306046E-2</v>
      </c>
      <c r="T82" s="9"/>
      <c r="U82" s="9"/>
      <c r="V82" s="2" t="s">
        <v>432</v>
      </c>
      <c r="W82" s="2" t="s">
        <v>433</v>
      </c>
      <c r="X82" s="2" t="s">
        <v>36</v>
      </c>
    </row>
    <row r="83" spans="1:24">
      <c r="A83" s="81" t="s">
        <v>434</v>
      </c>
      <c r="B83" s="81" t="s">
        <v>429</v>
      </c>
      <c r="C83" s="81" t="s">
        <v>430</v>
      </c>
      <c r="D83" s="81" t="str">
        <f>'A1=dibenzosuberone'!A29</f>
        <v>camphor (endo)</v>
      </c>
      <c r="E83" s="2" t="s">
        <v>136</v>
      </c>
      <c r="F83" s="1">
        <v>0</v>
      </c>
      <c r="G83" s="2" t="s">
        <v>435</v>
      </c>
      <c r="H83" s="1">
        <v>273</v>
      </c>
      <c r="I83" s="9"/>
      <c r="J83" s="9"/>
      <c r="K83" s="9"/>
      <c r="L83" s="9"/>
      <c r="M83" s="9"/>
      <c r="N83" s="3">
        <f>'A1=dibenzosuberone'!Q29</f>
        <v>2.124102462440832</v>
      </c>
      <c r="O83" s="3">
        <f t="shared" si="13"/>
        <v>3.1468997273585342</v>
      </c>
      <c r="P83" s="3">
        <f>'A1=dibenzosuberone'!R29</f>
        <v>1.1778205080895228E-2</v>
      </c>
      <c r="Q83" s="137">
        <f t="shared" si="15"/>
        <v>3.1468997273585342</v>
      </c>
      <c r="R83" s="3">
        <f t="shared" si="14"/>
        <v>1.1778205080895228E-2</v>
      </c>
      <c r="S83" s="5">
        <f t="shared" si="12"/>
        <v>3.0503004343127248E-3</v>
      </c>
      <c r="T83" s="9"/>
      <c r="U83" s="9"/>
      <c r="V83" s="2" t="s">
        <v>432</v>
      </c>
      <c r="W83" s="2" t="s">
        <v>436</v>
      </c>
      <c r="X83" s="2" t="s">
        <v>36</v>
      </c>
    </row>
    <row r="84" spans="1:24">
      <c r="A84" s="81" t="s">
        <v>437</v>
      </c>
      <c r="B84" s="81" t="s">
        <v>438</v>
      </c>
      <c r="C84" s="81" t="s">
        <v>439</v>
      </c>
      <c r="D84" s="81" t="str">
        <f>'A1=dibenzosuberone'!A35</f>
        <v>fenchone (endo)</v>
      </c>
      <c r="E84" s="2" t="s">
        <v>136</v>
      </c>
      <c r="F84" s="1">
        <v>0</v>
      </c>
      <c r="G84" s="2" t="s">
        <v>440</v>
      </c>
      <c r="H84" s="1">
        <v>273</v>
      </c>
      <c r="I84" s="9"/>
      <c r="J84" s="9"/>
      <c r="K84" s="9"/>
      <c r="L84" s="9"/>
      <c r="M84" s="9"/>
      <c r="N84" s="3">
        <f>'A1=dibenzosuberone'!Q35</f>
        <v>1.1214670630435704</v>
      </c>
      <c r="O84" s="3">
        <f t="shared" si="13"/>
        <v>2.1442643279612725</v>
      </c>
      <c r="P84" s="3">
        <f>'A1=dibenzosuberone'!R35</f>
        <v>6.2932936272556167E-2</v>
      </c>
      <c r="Q84" s="137">
        <f t="shared" si="15"/>
        <v>2.1442643279612725</v>
      </c>
      <c r="R84" s="3">
        <f t="shared" si="14"/>
        <v>6.2932936272556167E-2</v>
      </c>
      <c r="S84" s="5">
        <f t="shared" si="12"/>
        <v>1.9313347571775885E-2</v>
      </c>
      <c r="T84" s="9"/>
      <c r="U84" s="9"/>
      <c r="V84" s="2" t="s">
        <v>441</v>
      </c>
      <c r="W84" s="2" t="s">
        <v>214</v>
      </c>
      <c r="X84" s="2" t="s">
        <v>36</v>
      </c>
    </row>
    <row r="85" spans="1:24">
      <c r="A85" s="81" t="s">
        <v>442</v>
      </c>
      <c r="B85" s="81" t="s">
        <v>438</v>
      </c>
      <c r="C85" s="81" t="s">
        <v>439</v>
      </c>
      <c r="D85" s="81" t="str">
        <f>'A1=dibenzosuberone'!A36</f>
        <v>fenchone (exo)</v>
      </c>
      <c r="E85" s="2" t="s">
        <v>136</v>
      </c>
      <c r="F85" s="1">
        <v>0</v>
      </c>
      <c r="G85" s="2" t="s">
        <v>443</v>
      </c>
      <c r="H85" s="1">
        <v>273</v>
      </c>
      <c r="I85" s="9"/>
      <c r="J85" s="9"/>
      <c r="K85" s="9"/>
      <c r="L85" s="9"/>
      <c r="M85" s="9"/>
      <c r="N85" s="3">
        <f>'A1=dibenzosuberone'!Q36</f>
        <v>2.6778773052843539</v>
      </c>
      <c r="O85" s="3">
        <f t="shared" si="13"/>
        <v>3.700674570202056</v>
      </c>
      <c r="P85" s="3">
        <f>'A1=dibenzosuberone'!R36</f>
        <v>6.2932936272556167E-2</v>
      </c>
      <c r="Q85" s="137">
        <f t="shared" si="15"/>
        <v>3.700674570202056</v>
      </c>
      <c r="R85" s="3">
        <f t="shared" si="14"/>
        <v>6.2932936272556167E-2</v>
      </c>
      <c r="S85" s="5">
        <f t="shared" si="12"/>
        <v>1.1006531411872278E-3</v>
      </c>
      <c r="T85" s="9"/>
      <c r="U85" s="9"/>
      <c r="V85" s="2" t="s">
        <v>441</v>
      </c>
      <c r="W85" s="2" t="s">
        <v>444</v>
      </c>
      <c r="X85" s="2" t="s">
        <v>36</v>
      </c>
    </row>
    <row r="86" spans="1:24">
      <c r="A86" s="81" t="s">
        <v>445</v>
      </c>
      <c r="B86" s="81" t="s">
        <v>446</v>
      </c>
      <c r="C86" s="81" t="s">
        <v>447</v>
      </c>
      <c r="D86" s="81" t="str">
        <f>'A1 = benzophenone'!A362</f>
        <v>2,2,2-triphenylacetophenone</v>
      </c>
      <c r="E86" s="2" t="s">
        <v>40</v>
      </c>
      <c r="F86" s="1">
        <v>0</v>
      </c>
      <c r="G86" s="2" t="s">
        <v>900</v>
      </c>
      <c r="H86" s="1">
        <v>273</v>
      </c>
      <c r="I86" s="9"/>
      <c r="J86" s="9"/>
      <c r="K86" s="9"/>
      <c r="L86" s="3">
        <f>'A1 = benzophenone'!$Q$362</f>
        <v>2.8301120538556637</v>
      </c>
      <c r="M86" s="3">
        <f>'A1 = benzophenone'!$R$362</f>
        <v>0.19172701049939797</v>
      </c>
      <c r="N86" s="9"/>
      <c r="O86" s="9"/>
      <c r="P86" s="9"/>
      <c r="Q86" s="3">
        <f t="shared" ref="Q86:R86" si="16">L86</f>
        <v>2.8301120538556637</v>
      </c>
      <c r="R86" s="3">
        <f t="shared" si="16"/>
        <v>0.19172701049939797</v>
      </c>
      <c r="S86" s="5">
        <f t="shared" si="12"/>
        <v>5.4649384384938063E-3</v>
      </c>
      <c r="T86" s="9"/>
      <c r="U86" s="9"/>
      <c r="V86" s="2" t="s">
        <v>901</v>
      </c>
      <c r="W86" s="2" t="s">
        <v>448</v>
      </c>
      <c r="X86" s="2" t="s">
        <v>36</v>
      </c>
    </row>
    <row r="87" spans="1:24" s="140" customFormat="1">
      <c r="A87" s="139"/>
      <c r="B87" s="139" t="s">
        <v>457</v>
      </c>
      <c r="C87" s="139" t="s">
        <v>458</v>
      </c>
      <c r="D87" s="139" t="s">
        <v>877</v>
      </c>
      <c r="F87" s="141">
        <v>1</v>
      </c>
      <c r="G87" s="140" t="s">
        <v>876</v>
      </c>
      <c r="H87" s="141">
        <v>273</v>
      </c>
      <c r="I87" s="142"/>
      <c r="J87" s="142"/>
      <c r="K87" s="142"/>
      <c r="L87" s="143"/>
      <c r="M87" s="143"/>
      <c r="N87" s="142"/>
      <c r="O87" s="142"/>
      <c r="P87" s="142"/>
      <c r="Q87" s="143"/>
      <c r="R87" s="143"/>
      <c r="S87" s="144"/>
      <c r="T87" s="142"/>
      <c r="U87" s="142"/>
      <c r="V87" s="140" t="s">
        <v>459</v>
      </c>
      <c r="W87" s="145" t="s">
        <v>460</v>
      </c>
      <c r="X87" s="140" t="s">
        <v>36</v>
      </c>
    </row>
    <row r="88" spans="1:24" s="140" customFormat="1">
      <c r="A88" s="139"/>
      <c r="B88" s="139" t="s">
        <v>457</v>
      </c>
      <c r="C88" s="139" t="s">
        <v>458</v>
      </c>
      <c r="D88" s="139" t="s">
        <v>878</v>
      </c>
      <c r="F88" s="141">
        <v>1</v>
      </c>
      <c r="G88" s="140" t="s">
        <v>879</v>
      </c>
      <c r="H88" s="141">
        <v>273</v>
      </c>
      <c r="I88" s="142"/>
      <c r="J88" s="142"/>
      <c r="K88" s="142"/>
      <c r="L88" s="143"/>
      <c r="M88" s="143"/>
      <c r="N88" s="142"/>
      <c r="O88" s="142"/>
      <c r="P88" s="142"/>
      <c r="Q88" s="143"/>
      <c r="R88" s="143"/>
      <c r="S88" s="144"/>
      <c r="T88" s="142"/>
      <c r="U88" s="142"/>
      <c r="V88" s="140" t="s">
        <v>459</v>
      </c>
      <c r="W88" s="145" t="s">
        <v>461</v>
      </c>
      <c r="X88" s="140" t="s">
        <v>36</v>
      </c>
    </row>
    <row r="89" spans="1:24" s="112" customFormat="1">
      <c r="A89" s="111" t="s">
        <v>937</v>
      </c>
      <c r="B89" s="111" t="s">
        <v>465</v>
      </c>
      <c r="C89" s="111" t="s">
        <v>466</v>
      </c>
      <c r="D89" s="111" t="s">
        <v>881</v>
      </c>
      <c r="F89" s="113">
        <v>1</v>
      </c>
      <c r="G89" s="112" t="s">
        <v>880</v>
      </c>
      <c r="H89" s="113">
        <v>273</v>
      </c>
      <c r="I89" s="115">
        <f>'A1 = fluorenone'!Q36</f>
        <v>0.40633032901443072</v>
      </c>
      <c r="J89" s="115">
        <f>I89+$L$22</f>
        <v>-1.3429894186801301</v>
      </c>
      <c r="K89" s="115">
        <f>'A1 = fluorenone'!R36</f>
        <v>1.0628277836377343E-2</v>
      </c>
      <c r="L89" s="115"/>
      <c r="M89" s="115"/>
      <c r="N89" s="114"/>
      <c r="O89" s="114"/>
      <c r="P89" s="114"/>
      <c r="Q89" s="115">
        <f>J89</f>
        <v>-1.3429894186801301</v>
      </c>
      <c r="R89" s="115">
        <f>K89</f>
        <v>1.0628277836377343E-2</v>
      </c>
      <c r="S89" s="116">
        <f t="shared" ref="S89:S91" si="17">EXP(-Q89/1.99/H89*1000)</f>
        <v>11.846681890085248</v>
      </c>
      <c r="T89" s="114"/>
      <c r="U89" s="114"/>
      <c r="V89" s="112" t="s">
        <v>467</v>
      </c>
      <c r="W89" s="117" t="s">
        <v>468</v>
      </c>
      <c r="X89" s="112" t="s">
        <v>36</v>
      </c>
    </row>
    <row r="90" spans="1:24" s="112" customFormat="1">
      <c r="A90" s="111" t="s">
        <v>937</v>
      </c>
      <c r="B90" s="111" t="s">
        <v>465</v>
      </c>
      <c r="C90" s="111" t="s">
        <v>466</v>
      </c>
      <c r="D90" s="111" t="s">
        <v>882</v>
      </c>
      <c r="F90" s="113">
        <v>1</v>
      </c>
      <c r="G90" s="112" t="s">
        <v>883</v>
      </c>
      <c r="H90" s="113">
        <v>273</v>
      </c>
      <c r="I90" s="115">
        <f>'A1 = fluorenone'!Q35</f>
        <v>-0.66576047614585376</v>
      </c>
      <c r="J90" s="115">
        <f>I90+$L$22</f>
        <v>-2.4150802238404143</v>
      </c>
      <c r="K90" s="115">
        <f>'A1 = fluorenone'!R35</f>
        <v>1.5386984155772285E-3</v>
      </c>
      <c r="L90" s="115"/>
      <c r="M90" s="115"/>
      <c r="N90" s="114"/>
      <c r="O90" s="114"/>
      <c r="P90" s="114"/>
      <c r="Q90" s="115">
        <f>J90</f>
        <v>-2.4150802238404143</v>
      </c>
      <c r="R90" s="115">
        <f>K90</f>
        <v>1.5386984155772285E-3</v>
      </c>
      <c r="S90" s="116">
        <f t="shared" si="17"/>
        <v>85.238320916467018</v>
      </c>
      <c r="T90" s="114"/>
      <c r="U90" s="114"/>
      <c r="V90" s="112" t="s">
        <v>467</v>
      </c>
      <c r="W90" s="117" t="s">
        <v>886</v>
      </c>
      <c r="X90" s="112" t="s">
        <v>36</v>
      </c>
    </row>
    <row r="91" spans="1:24" s="112" customFormat="1">
      <c r="A91" s="111" t="s">
        <v>923</v>
      </c>
      <c r="B91" s="111" t="s">
        <v>927</v>
      </c>
      <c r="C91" s="111" t="s">
        <v>926</v>
      </c>
      <c r="D91" s="111" t="s">
        <v>910</v>
      </c>
      <c r="F91" s="113">
        <v>0</v>
      </c>
      <c r="G91" s="112" t="s">
        <v>912</v>
      </c>
      <c r="H91" s="113">
        <v>273</v>
      </c>
      <c r="I91" s="114"/>
      <c r="J91" s="115"/>
      <c r="K91" s="114"/>
      <c r="L91" s="115">
        <f>'A1 = benzophenone'!Q118</f>
        <v>-0.90963737855845961</v>
      </c>
      <c r="M91" s="115">
        <f>'A1 = benzophenone'!R118</f>
        <v>3.917618829070011E-2</v>
      </c>
      <c r="N91" s="114"/>
      <c r="O91" s="114"/>
      <c r="P91" s="114"/>
      <c r="Q91" s="115">
        <f>L91</f>
        <v>-0.90963737855845961</v>
      </c>
      <c r="R91" s="115">
        <f>M91</f>
        <v>3.917618829070011E-2</v>
      </c>
      <c r="S91" s="116">
        <f t="shared" si="17"/>
        <v>5.3354562263607033</v>
      </c>
      <c r="T91" s="114"/>
      <c r="U91" s="114"/>
      <c r="V91" s="112" t="s">
        <v>929</v>
      </c>
      <c r="W91" s="117" t="s">
        <v>931</v>
      </c>
    </row>
    <row r="92" spans="1:24" s="140" customFormat="1">
      <c r="A92" s="139"/>
      <c r="B92" s="139" t="s">
        <v>890</v>
      </c>
      <c r="C92" s="139" t="s">
        <v>891</v>
      </c>
      <c r="D92" s="139" t="s">
        <v>889</v>
      </c>
      <c r="F92" s="141">
        <v>1</v>
      </c>
      <c r="G92" s="140" t="s">
        <v>892</v>
      </c>
      <c r="H92" s="141">
        <v>273</v>
      </c>
      <c r="I92" s="142"/>
      <c r="J92" s="142"/>
      <c r="K92" s="142"/>
      <c r="L92" s="143"/>
      <c r="M92" s="143"/>
      <c r="N92" s="142"/>
      <c r="O92" s="142"/>
      <c r="P92" s="142"/>
      <c r="Q92" s="143"/>
      <c r="R92" s="143"/>
      <c r="S92" s="144"/>
      <c r="T92" s="142"/>
      <c r="U92" s="142"/>
      <c r="V92" s="140" t="s">
        <v>893</v>
      </c>
      <c r="W92" s="145"/>
    </row>
    <row r="93" spans="1:24" s="140" customFormat="1">
      <c r="A93" s="139"/>
      <c r="B93" s="139" t="s">
        <v>897</v>
      </c>
      <c r="C93" s="139" t="s">
        <v>896</v>
      </c>
      <c r="D93" s="139" t="s">
        <v>894</v>
      </c>
      <c r="F93" s="141">
        <v>1</v>
      </c>
      <c r="G93" s="140" t="s">
        <v>898</v>
      </c>
      <c r="H93" s="141">
        <v>273</v>
      </c>
      <c r="I93" s="142"/>
      <c r="J93" s="142"/>
      <c r="K93" s="142"/>
      <c r="L93" s="143"/>
      <c r="M93" s="143"/>
      <c r="N93" s="142"/>
      <c r="O93" s="142"/>
      <c r="P93" s="142"/>
      <c r="Q93" s="143"/>
      <c r="R93" s="143"/>
      <c r="S93" s="144"/>
      <c r="T93" s="142"/>
      <c r="U93" s="142"/>
      <c r="W93" s="145"/>
    </row>
    <row r="94" spans="1:24" s="140" customFormat="1">
      <c r="A94" s="139"/>
      <c r="B94" s="139"/>
      <c r="C94" s="139"/>
      <c r="D94" s="139" t="s">
        <v>888</v>
      </c>
      <c r="F94" s="141">
        <v>1</v>
      </c>
      <c r="G94" s="140" t="s">
        <v>899</v>
      </c>
      <c r="H94" s="141">
        <v>273</v>
      </c>
      <c r="I94" s="142"/>
      <c r="J94" s="142"/>
      <c r="K94" s="142"/>
      <c r="L94" s="143"/>
      <c r="M94" s="143"/>
      <c r="N94" s="142"/>
      <c r="O94" s="142"/>
      <c r="P94" s="142"/>
      <c r="Q94" s="143"/>
      <c r="R94" s="143"/>
      <c r="S94" s="144"/>
      <c r="T94" s="142"/>
      <c r="U94" s="142"/>
      <c r="W94" s="145"/>
    </row>
    <row r="95" spans="1:24" s="140" customFormat="1">
      <c r="A95" s="111" t="s">
        <v>943</v>
      </c>
      <c r="B95" s="139"/>
      <c r="C95" s="139"/>
      <c r="D95" s="111" t="s">
        <v>934</v>
      </c>
      <c r="F95" s="113">
        <v>0</v>
      </c>
      <c r="G95" s="112" t="s">
        <v>935</v>
      </c>
      <c r="H95" s="113">
        <v>273</v>
      </c>
      <c r="I95" s="142"/>
      <c r="J95" s="142"/>
      <c r="K95" s="142"/>
      <c r="L95" s="115">
        <f>'A1 = benzophenone'!Q96</f>
        <v>-1.2087555629071842</v>
      </c>
      <c r="M95" s="115">
        <f>'A1 = benzophenone'!R96</f>
        <v>4.016231400953041E-3</v>
      </c>
      <c r="N95" s="142"/>
      <c r="O95" s="142"/>
      <c r="P95" s="142"/>
      <c r="Q95" s="115">
        <f t="shared" ref="Q95:R96" si="18">L95</f>
        <v>-1.2087555629071842</v>
      </c>
      <c r="R95" s="143">
        <f t="shared" si="18"/>
        <v>4.016231400953041E-3</v>
      </c>
      <c r="S95" s="116">
        <f t="shared" ref="S95:S97" si="19">EXP(-Q95/1.99/H95*1000)</f>
        <v>9.2531389648477624</v>
      </c>
      <c r="T95" s="142"/>
      <c r="U95" s="142"/>
      <c r="V95" s="112" t="s">
        <v>941</v>
      </c>
      <c r="W95" s="145"/>
    </row>
    <row r="96" spans="1:24" s="140" customFormat="1">
      <c r="A96" s="111" t="s">
        <v>942</v>
      </c>
      <c r="B96" s="139"/>
      <c r="C96" s="111" t="s">
        <v>939</v>
      </c>
      <c r="D96" s="111" t="s">
        <v>938</v>
      </c>
      <c r="F96" s="113">
        <v>0</v>
      </c>
      <c r="G96" s="112" t="s">
        <v>940</v>
      </c>
      <c r="H96" s="113">
        <v>273</v>
      </c>
      <c r="I96" s="142"/>
      <c r="J96" s="142"/>
      <c r="K96" s="142"/>
      <c r="L96" s="115">
        <f>'A1 = benzophenone'!Q322</f>
        <v>0.38764746353339452</v>
      </c>
      <c r="M96" s="115">
        <f>'A1 = benzophenone'!R322</f>
        <v>7.1124629705768383E-2</v>
      </c>
      <c r="N96" s="142"/>
      <c r="O96" s="142"/>
      <c r="P96" s="142"/>
      <c r="Q96" s="115">
        <f t="shared" si="18"/>
        <v>0.38764746353339452</v>
      </c>
      <c r="R96" s="143">
        <f t="shared" si="18"/>
        <v>7.1124629705768383E-2</v>
      </c>
      <c r="S96" s="116">
        <f t="shared" si="19"/>
        <v>0.48990452036875914</v>
      </c>
      <c r="T96" s="142"/>
      <c r="U96" s="142"/>
      <c r="V96" s="112"/>
      <c r="W96" s="145"/>
    </row>
    <row r="97" spans="1:26" s="140" customFormat="1">
      <c r="A97" s="111"/>
      <c r="B97" s="139"/>
      <c r="C97" s="111"/>
      <c r="D97" s="111" t="str">
        <f>'A1 = benzophenone'!A187</f>
        <v>trans-benzalacetone</v>
      </c>
      <c r="F97" s="113">
        <v>0</v>
      </c>
      <c r="G97" s="112" t="s">
        <v>947</v>
      </c>
      <c r="H97" s="113">
        <v>273</v>
      </c>
      <c r="I97" s="142"/>
      <c r="J97" s="142"/>
      <c r="K97" s="142"/>
      <c r="L97" s="115">
        <f>'A1 = benzophenone'!Q187</f>
        <v>-0.50501704335122299</v>
      </c>
      <c r="M97" s="115">
        <f>'A1 = benzophenone'!R187</f>
        <v>1.0427876569911359E-2</v>
      </c>
      <c r="N97" s="142"/>
      <c r="O97" s="142"/>
      <c r="P97" s="142"/>
      <c r="Q97" s="115">
        <f>L97</f>
        <v>-0.50501704335122299</v>
      </c>
      <c r="R97" s="143">
        <f>M97</f>
        <v>1.0427876569911359E-2</v>
      </c>
      <c r="S97" s="116">
        <f t="shared" si="19"/>
        <v>2.5334641050998412</v>
      </c>
      <c r="T97" s="142"/>
      <c r="U97" s="142"/>
      <c r="V97" s="112"/>
      <c r="W97" s="145"/>
    </row>
    <row r="98" spans="1:26">
      <c r="A98" s="81" t="s">
        <v>469</v>
      </c>
      <c r="B98" s="81" t="s">
        <v>470</v>
      </c>
      <c r="C98" s="81" t="s">
        <v>471</v>
      </c>
      <c r="D98" s="81" t="s">
        <v>472</v>
      </c>
      <c r="E98" s="9"/>
      <c r="F98" s="1">
        <v>1</v>
      </c>
      <c r="G98" s="2" t="s">
        <v>473</v>
      </c>
      <c r="H98" s="1">
        <v>273</v>
      </c>
      <c r="I98" s="9"/>
      <c r="J98" s="9"/>
      <c r="K98" s="9"/>
      <c r="L98" s="9"/>
      <c r="M98" s="9"/>
      <c r="N98" s="9"/>
      <c r="O98" s="9"/>
      <c r="P98" s="9"/>
      <c r="Q98" s="9"/>
      <c r="R98" s="9"/>
      <c r="S98" s="9"/>
      <c r="T98" s="9"/>
      <c r="U98" s="9"/>
      <c r="V98" s="12" t="s">
        <v>474</v>
      </c>
      <c r="W98" s="2" t="s">
        <v>214</v>
      </c>
      <c r="X98" s="2" t="s">
        <v>36</v>
      </c>
      <c r="Y98" s="70"/>
      <c r="Z98" s="112"/>
    </row>
    <row r="99" spans="1:26">
      <c r="A99" s="81" t="s">
        <v>475</v>
      </c>
      <c r="B99" s="81" t="s">
        <v>470</v>
      </c>
      <c r="C99" s="81" t="s">
        <v>471</v>
      </c>
      <c r="D99" s="81" t="s">
        <v>476</v>
      </c>
      <c r="E99" s="9"/>
      <c r="F99" s="1">
        <v>1</v>
      </c>
      <c r="G99" s="2" t="s">
        <v>477</v>
      </c>
      <c r="H99" s="1">
        <v>273</v>
      </c>
      <c r="I99" s="9"/>
      <c r="J99" s="9"/>
      <c r="K99" s="9"/>
      <c r="L99" s="9"/>
      <c r="M99" s="9"/>
      <c r="N99" s="9"/>
      <c r="O99" s="9"/>
      <c r="P99" s="9"/>
      <c r="Q99" s="9"/>
      <c r="R99" s="9"/>
      <c r="S99" s="9"/>
      <c r="T99" s="9"/>
      <c r="U99" s="9"/>
      <c r="V99" s="12" t="s">
        <v>478</v>
      </c>
      <c r="W99" s="12" t="s">
        <v>474</v>
      </c>
      <c r="X99" s="2" t="s">
        <v>36</v>
      </c>
      <c r="Y99" s="70" t="s">
        <v>479</v>
      </c>
    </row>
    <row r="100" spans="1:26">
      <c r="A100" s="81" t="s">
        <v>480</v>
      </c>
      <c r="B100" s="81" t="s">
        <v>470</v>
      </c>
      <c r="C100" s="81" t="s">
        <v>471</v>
      </c>
      <c r="D100" s="81" t="s">
        <v>481</v>
      </c>
      <c r="E100" s="9"/>
      <c r="F100" s="1">
        <v>1</v>
      </c>
      <c r="G100" s="2" t="s">
        <v>482</v>
      </c>
      <c r="H100" s="1">
        <v>273</v>
      </c>
      <c r="I100" s="9"/>
      <c r="J100" s="9"/>
      <c r="K100" s="9"/>
      <c r="L100" s="9"/>
      <c r="M100" s="9"/>
      <c r="N100" s="9"/>
      <c r="O100" s="9"/>
      <c r="P100" s="9"/>
      <c r="Q100" s="9"/>
      <c r="R100" s="9"/>
      <c r="S100" s="9"/>
      <c r="T100" s="9"/>
      <c r="U100" s="9"/>
      <c r="V100" s="12" t="s">
        <v>478</v>
      </c>
      <c r="W100" s="12" t="s">
        <v>483</v>
      </c>
      <c r="X100" s="2" t="s">
        <v>36</v>
      </c>
    </row>
    <row r="101" spans="1:26">
      <c r="A101" s="81" t="s">
        <v>484</v>
      </c>
      <c r="B101" s="81" t="s">
        <v>470</v>
      </c>
      <c r="C101" s="81" t="s">
        <v>471</v>
      </c>
      <c r="D101" s="81" t="s">
        <v>485</v>
      </c>
      <c r="E101" s="9"/>
      <c r="F101" s="1">
        <v>1</v>
      </c>
      <c r="G101" s="2" t="s">
        <v>486</v>
      </c>
      <c r="H101" s="1">
        <v>273</v>
      </c>
      <c r="I101" s="9"/>
      <c r="J101" s="9"/>
      <c r="K101" s="9"/>
      <c r="L101" s="9"/>
      <c r="M101" s="9"/>
      <c r="N101" s="9"/>
      <c r="O101" s="9"/>
      <c r="P101" s="9"/>
      <c r="Q101" s="9"/>
      <c r="R101" s="9"/>
      <c r="S101" s="9"/>
      <c r="T101" s="9"/>
      <c r="U101" s="9"/>
      <c r="V101" s="12" t="s">
        <v>474</v>
      </c>
      <c r="W101" s="12" t="s">
        <v>483</v>
      </c>
      <c r="X101" s="2" t="s">
        <v>36</v>
      </c>
    </row>
    <row r="102" spans="1:26">
      <c r="A102" s="81" t="s">
        <v>487</v>
      </c>
      <c r="B102" s="81" t="s">
        <v>470</v>
      </c>
      <c r="C102" s="81" t="s">
        <v>471</v>
      </c>
      <c r="D102" s="81" t="s">
        <v>488</v>
      </c>
      <c r="E102" s="9"/>
      <c r="F102" s="1">
        <v>1</v>
      </c>
      <c r="G102" s="2" t="s">
        <v>489</v>
      </c>
      <c r="H102" s="1">
        <v>273</v>
      </c>
      <c r="I102" s="9"/>
      <c r="J102" s="9"/>
      <c r="K102" s="9"/>
      <c r="L102" s="9"/>
      <c r="M102" s="9"/>
      <c r="N102" s="9"/>
      <c r="O102" s="9"/>
      <c r="P102" s="9"/>
      <c r="Q102" s="9"/>
      <c r="R102" s="9"/>
      <c r="S102" s="9"/>
      <c r="T102" s="9"/>
      <c r="U102" s="9"/>
      <c r="V102" s="12" t="s">
        <v>474</v>
      </c>
      <c r="W102" s="9"/>
      <c r="X102" s="2" t="s">
        <v>36</v>
      </c>
    </row>
    <row r="103" spans="1:26">
      <c r="A103" s="81" t="s">
        <v>490</v>
      </c>
      <c r="B103" s="81" t="s">
        <v>470</v>
      </c>
      <c r="C103" s="81" t="s">
        <v>471</v>
      </c>
      <c r="D103" s="81" t="s">
        <v>491</v>
      </c>
      <c r="E103" s="9"/>
      <c r="F103" s="1">
        <v>1</v>
      </c>
      <c r="G103" s="2" t="s">
        <v>492</v>
      </c>
      <c r="H103" s="1">
        <v>273</v>
      </c>
      <c r="I103" s="9"/>
      <c r="J103" s="9"/>
      <c r="K103" s="9"/>
      <c r="L103" s="9"/>
      <c r="M103" s="9"/>
      <c r="N103" s="9"/>
      <c r="O103" s="9"/>
      <c r="P103" s="9"/>
      <c r="Q103" s="9"/>
      <c r="R103" s="9"/>
      <c r="S103" s="9"/>
      <c r="T103" s="9"/>
      <c r="U103" s="9"/>
      <c r="V103" s="12" t="s">
        <v>474</v>
      </c>
      <c r="W103" s="9"/>
      <c r="X103" s="2" t="s">
        <v>36</v>
      </c>
    </row>
    <row r="104" spans="1:26">
      <c r="A104" s="81" t="s">
        <v>493</v>
      </c>
      <c r="B104" s="81" t="s">
        <v>470</v>
      </c>
      <c r="C104" s="81" t="s">
        <v>471</v>
      </c>
      <c r="D104" s="81" t="s">
        <v>494</v>
      </c>
      <c r="E104" s="9"/>
      <c r="F104" s="1">
        <v>1</v>
      </c>
      <c r="G104" s="2" t="s">
        <v>495</v>
      </c>
      <c r="H104" s="1">
        <v>273</v>
      </c>
      <c r="I104" s="9"/>
      <c r="J104" s="9"/>
      <c r="K104" s="9"/>
      <c r="L104" s="9"/>
      <c r="M104" s="9"/>
      <c r="N104" s="9"/>
      <c r="O104" s="9"/>
      <c r="P104" s="9"/>
      <c r="Q104" s="9"/>
      <c r="R104" s="9"/>
      <c r="S104" s="9"/>
      <c r="T104" s="9"/>
      <c r="U104" s="9"/>
      <c r="V104" s="12" t="s">
        <v>474</v>
      </c>
      <c r="W104" s="9"/>
      <c r="X104" s="2" t="s">
        <v>36</v>
      </c>
    </row>
    <row r="105" spans="1:26">
      <c r="A105" s="81" t="s">
        <v>496</v>
      </c>
      <c r="B105" s="81" t="s">
        <v>470</v>
      </c>
      <c r="C105" s="81" t="s">
        <v>471</v>
      </c>
      <c r="D105" s="81" t="s">
        <v>497</v>
      </c>
      <c r="E105" s="9"/>
      <c r="F105" s="1">
        <v>1</v>
      </c>
      <c r="G105" s="2" t="s">
        <v>498</v>
      </c>
      <c r="H105" s="1">
        <v>273</v>
      </c>
      <c r="I105" s="9"/>
      <c r="J105" s="9"/>
      <c r="K105" s="9"/>
      <c r="L105" s="9"/>
      <c r="M105" s="9"/>
      <c r="N105" s="9"/>
      <c r="O105" s="9"/>
      <c r="P105" s="9"/>
      <c r="Q105" s="9"/>
      <c r="R105" s="9"/>
      <c r="S105" s="9"/>
      <c r="T105" s="9"/>
      <c r="U105" s="9"/>
      <c r="V105" s="12" t="s">
        <v>474</v>
      </c>
      <c r="W105" s="9"/>
      <c r="X105" s="2" t="s">
        <v>36</v>
      </c>
    </row>
    <row r="106" spans="1:26">
      <c r="A106" s="81" t="s">
        <v>499</v>
      </c>
      <c r="B106" s="81" t="s">
        <v>470</v>
      </c>
      <c r="C106" s="81" t="s">
        <v>471</v>
      </c>
      <c r="D106" s="81" t="s">
        <v>500</v>
      </c>
      <c r="E106" s="9"/>
      <c r="F106" s="1">
        <v>1</v>
      </c>
      <c r="G106" s="2" t="s">
        <v>501</v>
      </c>
      <c r="H106" s="1">
        <v>273</v>
      </c>
      <c r="I106" s="9"/>
      <c r="J106" s="9"/>
      <c r="K106" s="9"/>
      <c r="L106" s="9"/>
      <c r="M106" s="9"/>
      <c r="N106" s="9"/>
      <c r="O106" s="9"/>
      <c r="P106" s="9"/>
      <c r="Q106" s="9"/>
      <c r="R106" s="9"/>
      <c r="S106" s="9"/>
      <c r="T106" s="9"/>
      <c r="U106" s="9"/>
      <c r="V106" s="12" t="s">
        <v>474</v>
      </c>
      <c r="W106" s="9"/>
      <c r="X106" s="2" t="s">
        <v>36</v>
      </c>
    </row>
    <row r="107" spans="1:26">
      <c r="A107" s="81" t="s">
        <v>502</v>
      </c>
      <c r="B107" s="81" t="s">
        <v>470</v>
      </c>
      <c r="C107" s="81" t="s">
        <v>471</v>
      </c>
      <c r="D107" s="81" t="s">
        <v>503</v>
      </c>
      <c r="E107" s="9"/>
      <c r="F107" s="1">
        <v>1</v>
      </c>
      <c r="G107" s="2" t="s">
        <v>504</v>
      </c>
      <c r="H107" s="1">
        <v>273</v>
      </c>
      <c r="I107" s="9"/>
      <c r="J107" s="9"/>
      <c r="K107" s="9"/>
      <c r="L107" s="9"/>
      <c r="M107" s="9"/>
      <c r="N107" s="9"/>
      <c r="O107" s="9"/>
      <c r="P107" s="9"/>
      <c r="Q107" s="9"/>
      <c r="R107" s="9"/>
      <c r="S107" s="9"/>
      <c r="T107" s="9"/>
      <c r="U107" s="9"/>
      <c r="V107" s="12" t="s">
        <v>474</v>
      </c>
      <c r="W107" s="9"/>
      <c r="X107" s="2" t="s">
        <v>36</v>
      </c>
    </row>
    <row r="108" spans="1:26">
      <c r="A108" s="81" t="s">
        <v>505</v>
      </c>
      <c r="B108" s="81" t="s">
        <v>470</v>
      </c>
      <c r="C108" s="81" t="s">
        <v>471</v>
      </c>
      <c r="D108" s="81" t="s">
        <v>506</v>
      </c>
      <c r="E108" s="9"/>
      <c r="F108" s="1">
        <v>1</v>
      </c>
      <c r="G108" s="2" t="s">
        <v>507</v>
      </c>
      <c r="H108" s="1">
        <v>273</v>
      </c>
      <c r="I108" s="9"/>
      <c r="J108" s="9"/>
      <c r="K108" s="9"/>
      <c r="L108" s="9"/>
      <c r="M108" s="9"/>
      <c r="N108" s="9"/>
      <c r="O108" s="9"/>
      <c r="P108" s="9"/>
      <c r="Q108" s="9"/>
      <c r="R108" s="9"/>
      <c r="S108" s="9"/>
      <c r="T108" s="9"/>
      <c r="U108" s="9"/>
      <c r="V108" s="12" t="s">
        <v>474</v>
      </c>
      <c r="W108" s="9"/>
      <c r="X108" s="2" t="s">
        <v>36</v>
      </c>
    </row>
    <row r="109" spans="1:26">
      <c r="A109" s="81" t="s">
        <v>508</v>
      </c>
      <c r="B109" s="81" t="s">
        <v>470</v>
      </c>
      <c r="C109" s="81" t="s">
        <v>471</v>
      </c>
      <c r="D109" s="81" t="s">
        <v>509</v>
      </c>
      <c r="E109" s="9"/>
      <c r="F109" s="1">
        <v>1</v>
      </c>
      <c r="G109" s="2" t="s">
        <v>510</v>
      </c>
      <c r="H109" s="1">
        <v>273</v>
      </c>
      <c r="I109" s="9"/>
      <c r="J109" s="9"/>
      <c r="K109" s="9"/>
      <c r="L109" s="9"/>
      <c r="M109" s="9"/>
      <c r="N109" s="9"/>
      <c r="O109" s="9"/>
      <c r="P109" s="9"/>
      <c r="Q109" s="9"/>
      <c r="R109" s="9"/>
      <c r="S109" s="9"/>
      <c r="T109" s="9"/>
      <c r="U109" s="9"/>
      <c r="V109" s="12" t="s">
        <v>474</v>
      </c>
      <c r="W109" s="9"/>
      <c r="X109" s="2" t="s">
        <v>36</v>
      </c>
    </row>
    <row r="110" spans="1:26">
      <c r="A110" s="106" t="s">
        <v>511</v>
      </c>
      <c r="B110" s="85"/>
      <c r="C110" s="85"/>
      <c r="D110" s="81" t="s">
        <v>512</v>
      </c>
      <c r="E110" s="9"/>
      <c r="F110" s="1">
        <v>1</v>
      </c>
      <c r="G110" s="2" t="s">
        <v>513</v>
      </c>
      <c r="H110" s="1">
        <v>273</v>
      </c>
      <c r="I110" s="9"/>
      <c r="J110" s="9"/>
      <c r="K110" s="9"/>
      <c r="L110" s="9"/>
      <c r="M110" s="9"/>
      <c r="N110" s="9"/>
      <c r="O110" s="9"/>
      <c r="P110" s="9"/>
      <c r="Q110" s="9"/>
      <c r="R110" s="9"/>
      <c r="S110" s="9"/>
      <c r="T110" s="9"/>
      <c r="U110" s="9"/>
      <c r="V110" s="9"/>
      <c r="W110" s="9"/>
      <c r="X110" s="2" t="s">
        <v>514</v>
      </c>
      <c r="Y110" s="71" t="s">
        <v>515</v>
      </c>
    </row>
    <row r="111" spans="1:26">
      <c r="A111" s="106" t="s">
        <v>516</v>
      </c>
      <c r="B111" s="85"/>
      <c r="C111" s="85"/>
      <c r="D111" s="81" t="s">
        <v>517</v>
      </c>
      <c r="E111" s="9"/>
      <c r="F111" s="1">
        <v>1</v>
      </c>
      <c r="G111" s="2" t="s">
        <v>518</v>
      </c>
      <c r="H111" s="1">
        <v>273</v>
      </c>
      <c r="I111" s="9"/>
      <c r="J111" s="9"/>
      <c r="K111" s="9"/>
      <c r="L111" s="9"/>
      <c r="M111" s="9"/>
      <c r="N111" s="9"/>
      <c r="O111" s="9"/>
      <c r="P111" s="9"/>
      <c r="Q111" s="9"/>
      <c r="R111" s="9"/>
      <c r="S111" s="9"/>
      <c r="T111" s="9"/>
      <c r="U111" s="9"/>
      <c r="V111" s="9"/>
      <c r="W111" s="9"/>
      <c r="X111" s="2" t="s">
        <v>514</v>
      </c>
    </row>
    <row r="112" spans="1:26">
      <c r="A112" s="106" t="s">
        <v>519</v>
      </c>
      <c r="B112" s="85"/>
      <c r="C112" s="85"/>
      <c r="D112" s="81" t="s">
        <v>520</v>
      </c>
      <c r="E112" s="9"/>
      <c r="F112" s="1">
        <v>1</v>
      </c>
      <c r="G112" s="2" t="s">
        <v>521</v>
      </c>
      <c r="H112" s="1">
        <v>273</v>
      </c>
      <c r="I112" s="9"/>
      <c r="J112" s="9"/>
      <c r="K112" s="9"/>
      <c r="L112" s="9"/>
      <c r="M112" s="9"/>
      <c r="N112" s="9"/>
      <c r="O112" s="9"/>
      <c r="P112" s="9"/>
      <c r="Q112" s="9"/>
      <c r="R112" s="9"/>
      <c r="S112" s="9"/>
      <c r="T112" s="9"/>
      <c r="U112" s="9"/>
      <c r="V112" s="9"/>
      <c r="W112" s="9"/>
      <c r="X112" s="2" t="s">
        <v>514</v>
      </c>
    </row>
    <row r="113" spans="1:25">
      <c r="A113" s="106" t="s">
        <v>522</v>
      </c>
      <c r="B113" s="85"/>
      <c r="C113" s="85"/>
      <c r="D113" s="81" t="s">
        <v>523</v>
      </c>
      <c r="E113" s="9"/>
      <c r="F113" s="1">
        <v>1</v>
      </c>
      <c r="G113" s="2" t="s">
        <v>524</v>
      </c>
      <c r="H113" s="1">
        <v>273</v>
      </c>
      <c r="I113" s="9"/>
      <c r="J113" s="9"/>
      <c r="K113" s="9"/>
      <c r="L113" s="9"/>
      <c r="M113" s="9"/>
      <c r="N113" s="9"/>
      <c r="O113" s="9"/>
      <c r="P113" s="9"/>
      <c r="Q113" s="9"/>
      <c r="R113" s="9"/>
      <c r="S113" s="9"/>
      <c r="T113" s="9"/>
      <c r="U113" s="9"/>
      <c r="V113" s="9"/>
      <c r="W113" s="9"/>
      <c r="X113" s="2" t="s">
        <v>514</v>
      </c>
    </row>
    <row r="114" spans="1:25">
      <c r="A114" s="106" t="s">
        <v>525</v>
      </c>
      <c r="B114" s="85"/>
      <c r="C114" s="85"/>
      <c r="D114" s="81" t="s">
        <v>526</v>
      </c>
      <c r="E114" s="9"/>
      <c r="F114" s="1">
        <v>1</v>
      </c>
      <c r="G114" s="2" t="s">
        <v>527</v>
      </c>
      <c r="H114" s="1">
        <v>273</v>
      </c>
      <c r="I114" s="9"/>
      <c r="J114" s="9"/>
      <c r="K114" s="9"/>
      <c r="L114" s="9"/>
      <c r="M114" s="9"/>
      <c r="N114" s="9"/>
      <c r="O114" s="9"/>
      <c r="P114" s="9"/>
      <c r="Q114" s="9"/>
      <c r="R114" s="9"/>
      <c r="S114" s="9"/>
      <c r="T114" s="9"/>
      <c r="U114" s="9"/>
      <c r="V114" s="9"/>
      <c r="W114" s="9"/>
      <c r="X114" s="2" t="s">
        <v>514</v>
      </c>
    </row>
    <row r="115" spans="1:25">
      <c r="A115" s="106" t="s">
        <v>528</v>
      </c>
      <c r="B115" s="85"/>
      <c r="C115" s="85"/>
      <c r="D115" s="81" t="s">
        <v>529</v>
      </c>
      <c r="E115" s="9"/>
      <c r="F115" s="1">
        <v>1</v>
      </c>
      <c r="G115" s="2" t="s">
        <v>530</v>
      </c>
      <c r="H115" s="1">
        <v>273</v>
      </c>
      <c r="I115" s="9"/>
      <c r="J115" s="9"/>
      <c r="K115" s="9"/>
      <c r="L115" s="9"/>
      <c r="M115" s="9"/>
      <c r="N115" s="9"/>
      <c r="O115" s="9"/>
      <c r="P115" s="9"/>
      <c r="Q115" s="9"/>
      <c r="R115" s="9"/>
      <c r="S115" s="9"/>
      <c r="T115" s="9"/>
      <c r="U115" s="9"/>
      <c r="V115" s="9"/>
      <c r="W115" s="9"/>
      <c r="X115" s="2" t="s">
        <v>514</v>
      </c>
    </row>
    <row r="116" spans="1:25">
      <c r="A116" s="106" t="s">
        <v>531</v>
      </c>
      <c r="B116" s="85"/>
      <c r="C116" s="85"/>
      <c r="D116" s="81" t="s">
        <v>532</v>
      </c>
      <c r="E116" s="9"/>
      <c r="F116" s="1">
        <v>1</v>
      </c>
      <c r="G116" s="2" t="s">
        <v>533</v>
      </c>
      <c r="H116" s="1">
        <v>273</v>
      </c>
      <c r="I116" s="9"/>
      <c r="J116" s="9"/>
      <c r="K116" s="9"/>
      <c r="L116" s="9"/>
      <c r="M116" s="9"/>
      <c r="N116" s="9"/>
      <c r="O116" s="9"/>
      <c r="P116" s="9"/>
      <c r="Q116" s="9"/>
      <c r="R116" s="9"/>
      <c r="S116" s="9"/>
      <c r="T116" s="9"/>
      <c r="U116" s="9"/>
      <c r="V116" s="9"/>
      <c r="W116" s="9"/>
      <c r="X116" s="2" t="s">
        <v>514</v>
      </c>
    </row>
    <row r="117" spans="1:25">
      <c r="A117" s="106" t="s">
        <v>534</v>
      </c>
      <c r="B117" s="85"/>
      <c r="C117" s="85"/>
      <c r="D117" s="81" t="s">
        <v>535</v>
      </c>
      <c r="E117" s="9"/>
      <c r="F117" s="1">
        <v>1</v>
      </c>
      <c r="G117" s="2" t="s">
        <v>536</v>
      </c>
      <c r="H117" s="1">
        <v>273</v>
      </c>
      <c r="I117" s="9"/>
      <c r="J117" s="9"/>
      <c r="K117" s="9"/>
      <c r="L117" s="9"/>
      <c r="M117" s="9"/>
      <c r="N117" s="9"/>
      <c r="O117" s="9"/>
      <c r="P117" s="9"/>
      <c r="Q117" s="9"/>
      <c r="R117" s="9"/>
      <c r="S117" s="9"/>
      <c r="T117" s="9"/>
      <c r="U117" s="9"/>
      <c r="V117" s="9"/>
      <c r="W117" s="9"/>
      <c r="X117" s="2" t="s">
        <v>514</v>
      </c>
    </row>
    <row r="118" spans="1:25">
      <c r="A118" s="106" t="s">
        <v>537</v>
      </c>
      <c r="B118" s="85"/>
      <c r="C118" s="85"/>
      <c r="D118" s="81" t="s">
        <v>538</v>
      </c>
      <c r="E118" s="9"/>
      <c r="F118" s="1">
        <v>1</v>
      </c>
      <c r="G118" s="2" t="s">
        <v>539</v>
      </c>
      <c r="H118" s="1">
        <v>273</v>
      </c>
      <c r="I118" s="9"/>
      <c r="J118" s="9"/>
      <c r="K118" s="9"/>
      <c r="L118" s="9"/>
      <c r="M118" s="9"/>
      <c r="N118" s="9"/>
      <c r="O118" s="9"/>
      <c r="P118" s="9"/>
      <c r="Q118" s="9"/>
      <c r="R118" s="9"/>
      <c r="S118" s="9"/>
      <c r="T118" s="9"/>
      <c r="U118" s="9"/>
      <c r="V118" s="9"/>
      <c r="W118" s="9"/>
      <c r="X118" s="2" t="s">
        <v>514</v>
      </c>
    </row>
    <row r="119" spans="1:25">
      <c r="A119" s="106" t="s">
        <v>540</v>
      </c>
      <c r="B119" s="85"/>
      <c r="C119" s="85"/>
      <c r="D119" s="81" t="s">
        <v>541</v>
      </c>
      <c r="E119" s="9"/>
      <c r="F119" s="1">
        <v>1</v>
      </c>
      <c r="G119" s="2" t="s">
        <v>542</v>
      </c>
      <c r="H119" s="1">
        <v>273</v>
      </c>
      <c r="I119" s="9"/>
      <c r="J119" s="9"/>
      <c r="K119" s="9"/>
      <c r="L119" s="9"/>
      <c r="M119" s="9"/>
      <c r="N119" s="9"/>
      <c r="O119" s="9"/>
      <c r="P119" s="9"/>
      <c r="Q119" s="9"/>
      <c r="R119" s="9"/>
      <c r="S119" s="9"/>
      <c r="T119" s="9"/>
      <c r="U119" s="9"/>
      <c r="V119" s="9"/>
      <c r="W119" s="9"/>
      <c r="X119" s="2" t="s">
        <v>514</v>
      </c>
    </row>
    <row r="120" spans="1:25">
      <c r="A120" s="106" t="s">
        <v>543</v>
      </c>
      <c r="B120" s="85"/>
      <c r="C120" s="85"/>
      <c r="D120" s="81" t="s">
        <v>544</v>
      </c>
      <c r="E120" s="9"/>
      <c r="F120" s="1">
        <v>1</v>
      </c>
      <c r="G120" s="2" t="s">
        <v>545</v>
      </c>
      <c r="H120" s="1">
        <v>273</v>
      </c>
      <c r="I120" s="9"/>
      <c r="J120" s="9"/>
      <c r="K120" s="9"/>
      <c r="L120" s="9"/>
      <c r="M120" s="9"/>
      <c r="N120" s="9"/>
      <c r="O120" s="9"/>
      <c r="P120" s="9"/>
      <c r="Q120" s="9"/>
      <c r="R120" s="9"/>
      <c r="S120" s="9"/>
      <c r="T120" s="9"/>
      <c r="U120" s="9"/>
      <c r="V120" s="9"/>
      <c r="W120" s="9"/>
      <c r="X120" s="2" t="s">
        <v>514</v>
      </c>
    </row>
    <row r="121" spans="1:25">
      <c r="A121" s="106" t="s">
        <v>546</v>
      </c>
      <c r="B121" s="85"/>
      <c r="C121" s="85"/>
      <c r="D121" s="81" t="s">
        <v>547</v>
      </c>
      <c r="E121" s="9"/>
      <c r="F121" s="1">
        <v>1</v>
      </c>
      <c r="G121" s="2" t="s">
        <v>548</v>
      </c>
      <c r="H121" s="1">
        <v>273</v>
      </c>
      <c r="I121" s="9"/>
      <c r="J121" s="9"/>
      <c r="K121" s="9"/>
      <c r="L121" s="9"/>
      <c r="M121" s="9"/>
      <c r="N121" s="9"/>
      <c r="O121" s="9"/>
      <c r="P121" s="9"/>
      <c r="Q121" s="9"/>
      <c r="R121" s="9"/>
      <c r="S121" s="9"/>
      <c r="T121" s="9"/>
      <c r="U121" s="9"/>
      <c r="V121" s="9"/>
      <c r="W121" s="9"/>
      <c r="X121" s="2" t="s">
        <v>514</v>
      </c>
    </row>
    <row r="122" spans="1:25">
      <c r="A122" s="81" t="s">
        <v>549</v>
      </c>
      <c r="B122" s="85"/>
      <c r="C122" s="85"/>
      <c r="D122" s="81" t="s">
        <v>550</v>
      </c>
      <c r="E122" s="9"/>
      <c r="F122" s="1">
        <v>1</v>
      </c>
      <c r="G122" s="2" t="s">
        <v>551</v>
      </c>
      <c r="H122" s="1">
        <v>298</v>
      </c>
      <c r="I122" s="9"/>
      <c r="J122" s="9"/>
      <c r="K122" s="9"/>
      <c r="L122" s="9"/>
      <c r="M122" s="9"/>
      <c r="N122" s="9"/>
      <c r="O122" s="9"/>
      <c r="P122" s="9"/>
      <c r="Q122" s="9"/>
      <c r="R122" s="9"/>
      <c r="S122" s="9"/>
      <c r="T122" s="9"/>
      <c r="U122" s="9"/>
      <c r="V122" s="9"/>
      <c r="W122" s="9"/>
      <c r="X122" s="12" t="s">
        <v>552</v>
      </c>
    </row>
    <row r="123" spans="1:25">
      <c r="A123" s="81" t="s">
        <v>553</v>
      </c>
      <c r="B123" s="85"/>
      <c r="C123" s="85"/>
      <c r="D123" s="81" t="s">
        <v>554</v>
      </c>
      <c r="E123" s="9"/>
      <c r="F123" s="1">
        <v>1</v>
      </c>
      <c r="G123" s="2" t="s">
        <v>555</v>
      </c>
      <c r="H123" s="1">
        <v>298</v>
      </c>
      <c r="I123" s="9"/>
      <c r="J123" s="9"/>
      <c r="K123" s="9"/>
      <c r="L123" s="9"/>
      <c r="M123" s="9"/>
      <c r="N123" s="9"/>
      <c r="O123" s="9"/>
      <c r="P123" s="9"/>
      <c r="Q123" s="9"/>
      <c r="R123" s="9"/>
      <c r="S123" s="9"/>
      <c r="T123" s="9"/>
      <c r="U123" s="9"/>
      <c r="V123" s="9"/>
      <c r="W123" s="9"/>
      <c r="X123" s="12" t="s">
        <v>556</v>
      </c>
      <c r="Y123" s="70" t="s">
        <v>557</v>
      </c>
    </row>
    <row r="124" spans="1:25">
      <c r="A124" s="81" t="s">
        <v>558</v>
      </c>
      <c r="B124" s="85"/>
      <c r="C124" s="85"/>
      <c r="D124" s="81" t="s">
        <v>559</v>
      </c>
      <c r="E124" s="9"/>
      <c r="F124" s="1">
        <v>1</v>
      </c>
      <c r="G124" s="2" t="s">
        <v>560</v>
      </c>
      <c r="H124" s="1">
        <v>298</v>
      </c>
      <c r="I124" s="9"/>
      <c r="J124" s="9"/>
      <c r="K124" s="9"/>
      <c r="L124" s="9"/>
      <c r="M124" s="9"/>
      <c r="N124" s="9"/>
      <c r="O124" s="9"/>
      <c r="P124" s="9"/>
      <c r="Q124" s="9"/>
      <c r="R124" s="9"/>
      <c r="S124" s="9"/>
      <c r="T124" s="9"/>
      <c r="U124" s="9"/>
      <c r="V124" s="9"/>
      <c r="W124" s="9"/>
      <c r="X124" s="12" t="s">
        <v>556</v>
      </c>
    </row>
    <row r="125" spans="1:25">
      <c r="A125" s="81" t="s">
        <v>561</v>
      </c>
      <c r="B125" s="85"/>
      <c r="C125" s="85"/>
      <c r="D125" s="81" t="s">
        <v>562</v>
      </c>
      <c r="E125" s="9"/>
      <c r="F125" s="1">
        <v>1</v>
      </c>
      <c r="G125" s="2" t="s">
        <v>563</v>
      </c>
      <c r="H125" s="1">
        <v>298</v>
      </c>
      <c r="I125" s="9"/>
      <c r="J125" s="9"/>
      <c r="K125" s="9"/>
      <c r="L125" s="9"/>
      <c r="M125" s="9"/>
      <c r="N125" s="9"/>
      <c r="O125" s="9"/>
      <c r="P125" s="9"/>
      <c r="Q125" s="9"/>
      <c r="R125" s="9"/>
      <c r="S125" s="9"/>
      <c r="T125" s="9"/>
      <c r="U125" s="9"/>
      <c r="V125" s="9"/>
      <c r="W125" s="9"/>
      <c r="X125" s="12" t="s">
        <v>552</v>
      </c>
    </row>
    <row r="126" spans="1:25">
      <c r="A126" s="81" t="s">
        <v>564</v>
      </c>
      <c r="B126" s="85"/>
      <c r="C126" s="85"/>
      <c r="D126" s="81" t="s">
        <v>565</v>
      </c>
      <c r="E126" s="9"/>
      <c r="F126" s="1">
        <v>1</v>
      </c>
      <c r="G126" s="2" t="s">
        <v>566</v>
      </c>
      <c r="H126" s="1">
        <v>298</v>
      </c>
      <c r="I126" s="9"/>
      <c r="J126" s="9"/>
      <c r="K126" s="9"/>
      <c r="L126" s="9"/>
      <c r="M126" s="9"/>
      <c r="N126" s="9"/>
      <c r="O126" s="9"/>
      <c r="P126" s="9"/>
      <c r="Q126" s="9"/>
      <c r="R126" s="9"/>
      <c r="S126" s="9"/>
      <c r="T126" s="9"/>
      <c r="U126" s="9"/>
      <c r="V126" s="9"/>
      <c r="W126" s="9"/>
      <c r="X126" s="12" t="s">
        <v>552</v>
      </c>
    </row>
    <row r="127" spans="1:25">
      <c r="A127" s="81" t="s">
        <v>567</v>
      </c>
      <c r="B127" s="85"/>
      <c r="C127" s="85"/>
      <c r="D127" s="81" t="s">
        <v>568</v>
      </c>
      <c r="E127" s="9"/>
      <c r="F127" s="1">
        <v>1</v>
      </c>
      <c r="G127" s="2" t="s">
        <v>569</v>
      </c>
      <c r="H127" s="1">
        <v>298</v>
      </c>
      <c r="I127" s="9"/>
      <c r="J127" s="9"/>
      <c r="K127" s="9"/>
      <c r="L127" s="9"/>
      <c r="M127" s="9"/>
      <c r="N127" s="9"/>
      <c r="O127" s="9"/>
      <c r="P127" s="9"/>
      <c r="Q127" s="9"/>
      <c r="R127" s="9"/>
      <c r="S127" s="9"/>
      <c r="T127" s="9"/>
      <c r="U127" s="9"/>
      <c r="V127" s="9"/>
      <c r="W127" s="9"/>
      <c r="X127" s="12" t="s">
        <v>552</v>
      </c>
    </row>
    <row r="128" spans="1:25">
      <c r="A128" s="81" t="s">
        <v>570</v>
      </c>
      <c r="B128" s="85"/>
      <c r="C128" s="85"/>
      <c r="D128" s="81" t="s">
        <v>571</v>
      </c>
      <c r="E128" s="9"/>
      <c r="F128" s="1">
        <v>1</v>
      </c>
      <c r="G128" s="2" t="s">
        <v>572</v>
      </c>
      <c r="H128" s="1">
        <v>298</v>
      </c>
      <c r="I128" s="9"/>
      <c r="J128" s="9"/>
      <c r="K128" s="9"/>
      <c r="L128" s="9"/>
      <c r="M128" s="9"/>
      <c r="N128" s="9"/>
      <c r="O128" s="9"/>
      <c r="P128" s="9"/>
      <c r="Q128" s="9"/>
      <c r="R128" s="9"/>
      <c r="S128" s="9"/>
      <c r="T128" s="9"/>
      <c r="U128" s="9"/>
      <c r="V128" s="9"/>
      <c r="W128" s="9"/>
      <c r="X128" s="12" t="s">
        <v>552</v>
      </c>
    </row>
    <row r="129" spans="1:25">
      <c r="A129" s="81" t="s">
        <v>573</v>
      </c>
      <c r="B129" s="85"/>
      <c r="C129" s="85"/>
      <c r="D129" s="81" t="s">
        <v>574</v>
      </c>
      <c r="E129" s="9"/>
      <c r="F129" s="1">
        <v>1</v>
      </c>
      <c r="G129" s="2" t="s">
        <v>575</v>
      </c>
      <c r="H129" s="1">
        <v>298</v>
      </c>
      <c r="I129" s="9"/>
      <c r="J129" s="9"/>
      <c r="K129" s="9"/>
      <c r="L129" s="9"/>
      <c r="M129" s="9"/>
      <c r="N129" s="9"/>
      <c r="O129" s="9"/>
      <c r="P129" s="9"/>
      <c r="Q129" s="9"/>
      <c r="R129" s="9"/>
      <c r="S129" s="9"/>
      <c r="T129" s="9"/>
      <c r="U129" s="9"/>
      <c r="V129" s="9"/>
      <c r="W129" s="9"/>
      <c r="X129" s="12" t="s">
        <v>552</v>
      </c>
    </row>
    <row r="130" spans="1:25">
      <c r="A130" s="81" t="s">
        <v>576</v>
      </c>
      <c r="B130" s="85"/>
      <c r="C130" s="85"/>
      <c r="D130" s="81" t="s">
        <v>577</v>
      </c>
      <c r="E130" s="9"/>
      <c r="F130" s="1">
        <v>1</v>
      </c>
      <c r="G130" s="2" t="s">
        <v>578</v>
      </c>
      <c r="H130" s="1">
        <v>298</v>
      </c>
      <c r="I130" s="9"/>
      <c r="J130" s="9"/>
      <c r="K130" s="9"/>
      <c r="L130" s="9"/>
      <c r="M130" s="9"/>
      <c r="N130" s="9"/>
      <c r="O130" s="9"/>
      <c r="P130" s="9"/>
      <c r="Q130" s="9"/>
      <c r="R130" s="9"/>
      <c r="S130" s="9"/>
      <c r="T130" s="9"/>
      <c r="U130" s="9"/>
      <c r="V130" s="9"/>
      <c r="W130" s="9"/>
      <c r="X130" s="12" t="s">
        <v>552</v>
      </c>
    </row>
    <row r="131" spans="1:25">
      <c r="A131" s="81" t="s">
        <v>579</v>
      </c>
      <c r="B131" s="85"/>
      <c r="C131" s="85"/>
      <c r="D131" s="81" t="s">
        <v>580</v>
      </c>
      <c r="E131" s="9"/>
      <c r="F131" s="1">
        <v>1</v>
      </c>
      <c r="G131" s="2" t="s">
        <v>581</v>
      </c>
      <c r="H131" s="1">
        <v>298</v>
      </c>
      <c r="I131" s="9"/>
      <c r="J131" s="9"/>
      <c r="K131" s="9"/>
      <c r="L131" s="9"/>
      <c r="M131" s="9"/>
      <c r="N131" s="9"/>
      <c r="O131" s="9"/>
      <c r="P131" s="9"/>
      <c r="Q131" s="9"/>
      <c r="R131" s="9"/>
      <c r="S131" s="9"/>
      <c r="T131" s="9"/>
      <c r="U131" s="9"/>
      <c r="V131" s="9"/>
      <c r="W131" s="9"/>
      <c r="X131" s="12" t="s">
        <v>552</v>
      </c>
    </row>
    <row r="132" spans="1:25">
      <c r="A132" s="81" t="s">
        <v>582</v>
      </c>
      <c r="B132" s="85"/>
      <c r="C132" s="85"/>
      <c r="D132" s="81" t="s">
        <v>583</v>
      </c>
      <c r="E132" s="9"/>
      <c r="F132" s="1">
        <v>1</v>
      </c>
      <c r="G132" s="2" t="s">
        <v>584</v>
      </c>
      <c r="H132" s="1">
        <v>298</v>
      </c>
      <c r="I132" s="9"/>
      <c r="J132" s="9"/>
      <c r="K132" s="9"/>
      <c r="L132" s="9"/>
      <c r="M132" s="9"/>
      <c r="N132" s="9"/>
      <c r="O132" s="9"/>
      <c r="P132" s="9"/>
      <c r="Q132" s="9"/>
      <c r="R132" s="9"/>
      <c r="S132" s="9"/>
      <c r="T132" s="9"/>
      <c r="U132" s="9"/>
      <c r="V132" s="9"/>
      <c r="W132" s="9"/>
      <c r="X132" s="12" t="s">
        <v>552</v>
      </c>
    </row>
    <row r="133" spans="1:25">
      <c r="A133" s="81" t="s">
        <v>585</v>
      </c>
      <c r="B133" s="85"/>
      <c r="C133" s="85"/>
      <c r="D133" s="81" t="s">
        <v>586</v>
      </c>
      <c r="E133" s="9"/>
      <c r="F133" s="1">
        <v>1</v>
      </c>
      <c r="G133" s="2" t="s">
        <v>587</v>
      </c>
      <c r="H133" s="1">
        <v>298</v>
      </c>
      <c r="I133" s="9"/>
      <c r="J133" s="9"/>
      <c r="K133" s="9"/>
      <c r="L133" s="9"/>
      <c r="M133" s="9"/>
      <c r="N133" s="9"/>
      <c r="O133" s="9"/>
      <c r="P133" s="9"/>
      <c r="Q133" s="9"/>
      <c r="R133" s="9"/>
      <c r="S133" s="9"/>
      <c r="T133" s="9"/>
      <c r="U133" s="9"/>
      <c r="V133" s="9"/>
      <c r="W133" s="9"/>
      <c r="X133" s="12" t="s">
        <v>552</v>
      </c>
    </row>
    <row r="134" spans="1:25" ht="17">
      <c r="A134" s="106" t="s">
        <v>588</v>
      </c>
      <c r="B134" s="85"/>
      <c r="C134" s="85"/>
      <c r="D134" s="81" t="s">
        <v>589</v>
      </c>
      <c r="E134" s="9"/>
      <c r="F134" s="1">
        <v>1</v>
      </c>
      <c r="G134" s="2" t="s">
        <v>590</v>
      </c>
      <c r="H134" s="1">
        <v>273</v>
      </c>
      <c r="I134" s="9"/>
      <c r="J134" s="9"/>
      <c r="K134" s="9"/>
      <c r="L134" s="9"/>
      <c r="M134" s="9"/>
      <c r="N134" s="9"/>
      <c r="O134" s="9"/>
      <c r="P134" s="9"/>
      <c r="Q134" s="9"/>
      <c r="R134" s="9"/>
      <c r="S134" s="9"/>
      <c r="T134" s="9"/>
      <c r="U134" s="9"/>
      <c r="V134" s="9"/>
      <c r="W134" s="9"/>
      <c r="X134" s="12" t="s">
        <v>591</v>
      </c>
      <c r="Y134" s="70" t="s">
        <v>592</v>
      </c>
    </row>
    <row r="135" spans="1:25">
      <c r="A135" s="106" t="s">
        <v>593</v>
      </c>
      <c r="B135" s="85"/>
      <c r="C135" s="85"/>
      <c r="D135" s="81" t="s">
        <v>594</v>
      </c>
      <c r="E135" s="9"/>
      <c r="F135" s="1">
        <v>1</v>
      </c>
      <c r="G135" s="2" t="s">
        <v>595</v>
      </c>
      <c r="H135" s="1">
        <v>273</v>
      </c>
      <c r="I135" s="9"/>
      <c r="J135" s="9"/>
      <c r="K135" s="9"/>
      <c r="L135" s="9"/>
      <c r="M135" s="9"/>
      <c r="N135" s="9"/>
      <c r="O135" s="9"/>
      <c r="P135" s="9"/>
      <c r="Q135" s="9"/>
      <c r="R135" s="9"/>
      <c r="S135" s="9"/>
      <c r="T135" s="9"/>
      <c r="U135" s="9"/>
      <c r="V135" s="9"/>
      <c r="W135" s="9"/>
      <c r="X135" s="12" t="s">
        <v>591</v>
      </c>
    </row>
    <row r="136" spans="1:25">
      <c r="A136" s="106" t="s">
        <v>596</v>
      </c>
      <c r="B136" s="85"/>
      <c r="C136" s="85"/>
      <c r="D136" s="81" t="s">
        <v>597</v>
      </c>
      <c r="E136" s="9"/>
      <c r="F136" s="1">
        <v>1</v>
      </c>
      <c r="G136" s="2" t="s">
        <v>598</v>
      </c>
      <c r="H136" s="1">
        <v>273</v>
      </c>
      <c r="I136" s="9"/>
      <c r="J136" s="9"/>
      <c r="K136" s="9"/>
      <c r="L136" s="9"/>
      <c r="M136" s="9"/>
      <c r="N136" s="9"/>
      <c r="O136" s="9"/>
      <c r="P136" s="9"/>
      <c r="Q136" s="9"/>
      <c r="R136" s="9"/>
      <c r="S136" s="9"/>
      <c r="T136" s="9"/>
      <c r="U136" s="9"/>
      <c r="V136" s="9"/>
      <c r="W136" s="9"/>
      <c r="X136" s="12" t="s">
        <v>591</v>
      </c>
    </row>
    <row r="137" spans="1:25">
      <c r="A137" s="106" t="s">
        <v>599</v>
      </c>
      <c r="B137" s="85"/>
      <c r="C137" s="85"/>
      <c r="D137" s="81" t="s">
        <v>600</v>
      </c>
      <c r="E137" s="9"/>
      <c r="F137" s="1">
        <v>1</v>
      </c>
      <c r="G137" s="2" t="s">
        <v>601</v>
      </c>
      <c r="H137" s="1">
        <v>273</v>
      </c>
      <c r="I137" s="9"/>
      <c r="J137" s="9"/>
      <c r="K137" s="9"/>
      <c r="L137" s="9"/>
      <c r="M137" s="9"/>
      <c r="N137" s="9"/>
      <c r="O137" s="9"/>
      <c r="P137" s="9"/>
      <c r="Q137" s="9"/>
      <c r="R137" s="9"/>
      <c r="S137" s="9"/>
      <c r="T137" s="9"/>
      <c r="U137" s="9"/>
      <c r="V137" s="9"/>
      <c r="W137" s="9"/>
      <c r="X137" s="12" t="s">
        <v>602</v>
      </c>
    </row>
    <row r="138" spans="1:25">
      <c r="A138" s="106" t="s">
        <v>603</v>
      </c>
      <c r="B138" s="85"/>
      <c r="C138" s="85"/>
      <c r="D138" s="81" t="s">
        <v>604</v>
      </c>
      <c r="E138" s="9"/>
      <c r="F138" s="1">
        <v>1</v>
      </c>
      <c r="G138" s="2" t="s">
        <v>605</v>
      </c>
      <c r="H138" s="1">
        <v>273</v>
      </c>
      <c r="I138" s="9"/>
      <c r="J138" s="9"/>
      <c r="K138" s="9"/>
      <c r="L138" s="9"/>
      <c r="M138" s="9"/>
      <c r="N138" s="9"/>
      <c r="O138" s="9"/>
      <c r="P138" s="9"/>
      <c r="Q138" s="9"/>
      <c r="R138" s="9"/>
      <c r="S138" s="9"/>
      <c r="T138" s="9"/>
      <c r="U138" s="9"/>
      <c r="V138" s="9"/>
      <c r="W138" s="9"/>
      <c r="X138" s="12" t="s">
        <v>591</v>
      </c>
    </row>
    <row r="139" spans="1:25">
      <c r="A139" s="106" t="s">
        <v>606</v>
      </c>
      <c r="B139" s="85"/>
      <c r="C139" s="85"/>
      <c r="D139" s="81" t="s">
        <v>607</v>
      </c>
      <c r="E139" s="9"/>
      <c r="F139" s="1">
        <v>1</v>
      </c>
      <c r="G139" s="2" t="s">
        <v>608</v>
      </c>
      <c r="H139" s="1">
        <v>273</v>
      </c>
      <c r="I139" s="9"/>
      <c r="J139" s="9"/>
      <c r="K139" s="9"/>
      <c r="L139" s="9"/>
      <c r="M139" s="9"/>
      <c r="N139" s="9"/>
      <c r="O139" s="9"/>
      <c r="P139" s="9"/>
      <c r="Q139" s="9"/>
      <c r="R139" s="9"/>
      <c r="S139" s="9"/>
      <c r="T139" s="9"/>
      <c r="U139" s="9"/>
      <c r="V139" s="9"/>
      <c r="W139" s="9"/>
      <c r="X139" s="12" t="s">
        <v>591</v>
      </c>
    </row>
    <row r="140" spans="1:25">
      <c r="A140" s="106" t="s">
        <v>609</v>
      </c>
      <c r="B140" s="85"/>
      <c r="C140" s="85"/>
      <c r="D140" s="81" t="s">
        <v>610</v>
      </c>
      <c r="E140" s="9"/>
      <c r="F140" s="1">
        <v>1</v>
      </c>
      <c r="G140" s="2" t="s">
        <v>611</v>
      </c>
      <c r="H140" s="1">
        <v>273</v>
      </c>
      <c r="I140" s="9"/>
      <c r="J140" s="9"/>
      <c r="K140" s="9"/>
      <c r="L140" s="9"/>
      <c r="M140" s="9"/>
      <c r="N140" s="9"/>
      <c r="O140" s="9"/>
      <c r="P140" s="9"/>
      <c r="Q140" s="9"/>
      <c r="R140" s="9"/>
      <c r="S140" s="9"/>
      <c r="T140" s="9"/>
      <c r="U140" s="9"/>
      <c r="V140" s="9"/>
      <c r="W140" s="9"/>
      <c r="X140" s="12" t="s">
        <v>591</v>
      </c>
    </row>
    <row r="141" spans="1:25">
      <c r="A141" s="106" t="s">
        <v>612</v>
      </c>
      <c r="B141" s="85"/>
      <c r="C141" s="85"/>
      <c r="D141" s="81" t="s">
        <v>613</v>
      </c>
      <c r="E141" s="9"/>
      <c r="F141" s="1">
        <v>1</v>
      </c>
      <c r="G141" s="2" t="s">
        <v>614</v>
      </c>
      <c r="H141" s="1">
        <v>273</v>
      </c>
      <c r="I141" s="9"/>
      <c r="J141" s="9"/>
      <c r="K141" s="9"/>
      <c r="L141" s="9"/>
      <c r="M141" s="9"/>
      <c r="N141" s="9"/>
      <c r="O141" s="9"/>
      <c r="P141" s="9"/>
      <c r="Q141" s="9"/>
      <c r="R141" s="9"/>
      <c r="S141" s="9"/>
      <c r="T141" s="9"/>
      <c r="U141" s="9"/>
      <c r="V141" s="9"/>
      <c r="W141" s="9"/>
      <c r="X141" s="12" t="s">
        <v>591</v>
      </c>
    </row>
    <row r="142" spans="1:25">
      <c r="A142" s="106" t="s">
        <v>615</v>
      </c>
      <c r="B142" s="85"/>
      <c r="C142" s="85"/>
      <c r="D142" s="81" t="s">
        <v>616</v>
      </c>
      <c r="E142" s="9"/>
      <c r="F142" s="1">
        <v>1</v>
      </c>
      <c r="G142" s="2" t="s">
        <v>617</v>
      </c>
      <c r="H142" s="1">
        <v>273</v>
      </c>
      <c r="I142" s="9"/>
      <c r="J142" s="9"/>
      <c r="K142" s="9"/>
      <c r="L142" s="9"/>
      <c r="M142" s="9"/>
      <c r="N142" s="9"/>
      <c r="O142" s="9"/>
      <c r="P142" s="9"/>
      <c r="Q142" s="9"/>
      <c r="R142" s="9"/>
      <c r="S142" s="9"/>
      <c r="T142" s="9"/>
      <c r="U142" s="9"/>
      <c r="V142" s="9"/>
      <c r="W142" s="9"/>
      <c r="X142" s="12" t="s">
        <v>591</v>
      </c>
    </row>
    <row r="143" spans="1:25">
      <c r="A143" s="106" t="s">
        <v>618</v>
      </c>
      <c r="B143" s="85"/>
      <c r="C143" s="85"/>
      <c r="D143" s="81" t="s">
        <v>619</v>
      </c>
      <c r="E143" s="9"/>
      <c r="F143" s="1">
        <v>1</v>
      </c>
      <c r="G143" s="2" t="s">
        <v>620</v>
      </c>
      <c r="H143" s="1">
        <v>273</v>
      </c>
      <c r="I143" s="9"/>
      <c r="J143" s="9"/>
      <c r="K143" s="9"/>
      <c r="L143" s="9"/>
      <c r="M143" s="9"/>
      <c r="N143" s="9"/>
      <c r="O143" s="9"/>
      <c r="P143" s="9"/>
      <c r="Q143" s="9"/>
      <c r="R143" s="9"/>
      <c r="S143" s="9"/>
      <c r="T143" s="9"/>
      <c r="U143" s="9"/>
      <c r="V143" s="9"/>
      <c r="W143" s="9"/>
      <c r="X143" s="12" t="s">
        <v>591</v>
      </c>
    </row>
    <row r="144" spans="1:25">
      <c r="A144" s="106" t="s">
        <v>621</v>
      </c>
      <c r="B144" s="85"/>
      <c r="C144" s="85"/>
      <c r="D144" s="81" t="s">
        <v>622</v>
      </c>
      <c r="E144" s="9"/>
      <c r="F144" s="1">
        <v>1</v>
      </c>
      <c r="G144" s="2" t="s">
        <v>623</v>
      </c>
      <c r="H144" s="1">
        <v>273</v>
      </c>
      <c r="I144" s="9"/>
      <c r="J144" s="9"/>
      <c r="K144" s="9"/>
      <c r="L144" s="9"/>
      <c r="M144" s="9"/>
      <c r="N144" s="9"/>
      <c r="O144" s="9"/>
      <c r="P144" s="9"/>
      <c r="Q144" s="9"/>
      <c r="R144" s="9"/>
      <c r="S144" s="9"/>
      <c r="T144" s="9"/>
      <c r="U144" s="9"/>
      <c r="V144" s="9"/>
      <c r="W144" s="9"/>
      <c r="X144" s="12" t="s">
        <v>591</v>
      </c>
    </row>
    <row r="145" spans="1:25">
      <c r="A145" s="106" t="s">
        <v>624</v>
      </c>
      <c r="B145" s="85"/>
      <c r="C145" s="85"/>
      <c r="D145" s="81" t="s">
        <v>625</v>
      </c>
      <c r="E145" s="9"/>
      <c r="F145" s="1">
        <v>1</v>
      </c>
      <c r="G145" s="2" t="s">
        <v>626</v>
      </c>
      <c r="H145" s="1">
        <v>273</v>
      </c>
      <c r="I145" s="9"/>
      <c r="J145" s="9"/>
      <c r="K145" s="9"/>
      <c r="L145" s="9"/>
      <c r="M145" s="9"/>
      <c r="N145" s="9"/>
      <c r="O145" s="9"/>
      <c r="P145" s="9"/>
      <c r="Q145" s="9"/>
      <c r="R145" s="9"/>
      <c r="S145" s="9"/>
      <c r="T145" s="9"/>
      <c r="U145" s="9"/>
      <c r="V145" s="9"/>
      <c r="W145" s="9"/>
      <c r="X145" s="12" t="s">
        <v>591</v>
      </c>
    </row>
    <row r="146" spans="1:25">
      <c r="A146" s="106" t="s">
        <v>627</v>
      </c>
      <c r="B146" s="85"/>
      <c r="C146" s="85"/>
      <c r="D146" s="81" t="s">
        <v>628</v>
      </c>
      <c r="E146" s="9"/>
      <c r="F146" s="1">
        <v>1</v>
      </c>
      <c r="G146" s="2" t="s">
        <v>629</v>
      </c>
      <c r="H146" s="1">
        <v>273</v>
      </c>
      <c r="I146" s="9"/>
      <c r="J146" s="9"/>
      <c r="K146" s="9"/>
      <c r="L146" s="9"/>
      <c r="M146" s="9"/>
      <c r="N146" s="9"/>
      <c r="O146" s="9"/>
      <c r="P146" s="9"/>
      <c r="Q146" s="9"/>
      <c r="R146" s="9"/>
      <c r="S146" s="9"/>
      <c r="T146" s="9"/>
      <c r="U146" s="9"/>
      <c r="V146" s="9"/>
      <c r="W146" s="9"/>
      <c r="X146" s="2" t="s">
        <v>630</v>
      </c>
    </row>
    <row r="147" spans="1:25" ht="17">
      <c r="A147" s="106" t="s">
        <v>631</v>
      </c>
      <c r="B147" s="85"/>
      <c r="C147" s="85"/>
      <c r="D147" s="81" t="s">
        <v>632</v>
      </c>
      <c r="E147" s="9"/>
      <c r="F147" s="1">
        <v>1</v>
      </c>
      <c r="G147" s="2" t="s">
        <v>633</v>
      </c>
      <c r="H147" s="1">
        <v>273</v>
      </c>
      <c r="I147" s="9"/>
      <c r="J147" s="9"/>
      <c r="K147" s="9"/>
      <c r="L147" s="9"/>
      <c r="M147" s="9"/>
      <c r="N147" s="9"/>
      <c r="O147" s="9"/>
      <c r="P147" s="9"/>
      <c r="Q147" s="9"/>
      <c r="R147" s="9"/>
      <c r="S147" s="9"/>
      <c r="T147" s="9"/>
      <c r="U147" s="9"/>
      <c r="V147" s="9"/>
      <c r="W147" s="9"/>
      <c r="X147" s="2" t="s">
        <v>630</v>
      </c>
      <c r="Y147" s="70" t="s">
        <v>634</v>
      </c>
    </row>
    <row r="148" spans="1:25">
      <c r="A148" s="106" t="s">
        <v>635</v>
      </c>
      <c r="B148" s="85"/>
      <c r="C148" s="85"/>
      <c r="D148" s="81" t="s">
        <v>636</v>
      </c>
      <c r="E148" s="9"/>
      <c r="F148" s="1">
        <v>1</v>
      </c>
      <c r="G148" s="2" t="s">
        <v>637</v>
      </c>
      <c r="H148" s="1">
        <v>273</v>
      </c>
      <c r="I148" s="9"/>
      <c r="J148" s="9"/>
      <c r="K148" s="9"/>
      <c r="L148" s="9"/>
      <c r="M148" s="9"/>
      <c r="N148" s="9"/>
      <c r="O148" s="9"/>
      <c r="P148" s="9"/>
      <c r="Q148" s="9"/>
      <c r="R148" s="9"/>
      <c r="S148" s="9"/>
      <c r="T148" s="9"/>
      <c r="U148" s="9"/>
      <c r="V148" s="9"/>
      <c r="W148" s="9"/>
      <c r="X148" s="2" t="s">
        <v>630</v>
      </c>
    </row>
    <row r="149" spans="1:25">
      <c r="A149" s="106" t="s">
        <v>638</v>
      </c>
      <c r="B149" s="85"/>
      <c r="C149" s="85"/>
      <c r="D149" s="81" t="s">
        <v>639</v>
      </c>
      <c r="E149" s="9"/>
      <c r="F149" s="1">
        <v>1</v>
      </c>
      <c r="G149" s="2" t="s">
        <v>640</v>
      </c>
      <c r="H149" s="1">
        <v>273</v>
      </c>
      <c r="I149" s="9"/>
      <c r="J149" s="9"/>
      <c r="K149" s="9"/>
      <c r="L149" s="9"/>
      <c r="M149" s="9"/>
      <c r="N149" s="9"/>
      <c r="O149" s="9"/>
      <c r="P149" s="9"/>
      <c r="Q149" s="9"/>
      <c r="R149" s="9"/>
      <c r="S149" s="9"/>
      <c r="T149" s="9"/>
      <c r="U149" s="9"/>
      <c r="V149" s="9"/>
      <c r="W149" s="9"/>
      <c r="X149" s="2" t="s">
        <v>630</v>
      </c>
    </row>
    <row r="150" spans="1:25">
      <c r="A150" s="106" t="s">
        <v>641</v>
      </c>
      <c r="B150" s="85"/>
      <c r="C150" s="85"/>
      <c r="D150" s="81" t="s">
        <v>642</v>
      </c>
      <c r="E150" s="9"/>
      <c r="F150" s="1">
        <v>1</v>
      </c>
      <c r="G150" s="2" t="s">
        <v>643</v>
      </c>
      <c r="H150" s="1">
        <v>273</v>
      </c>
      <c r="I150" s="9"/>
      <c r="J150" s="9"/>
      <c r="K150" s="9"/>
      <c r="L150" s="9"/>
      <c r="M150" s="9"/>
      <c r="N150" s="9"/>
      <c r="O150" s="9"/>
      <c r="P150" s="9"/>
      <c r="Q150" s="9"/>
      <c r="R150" s="9"/>
      <c r="S150" s="9"/>
      <c r="T150" s="9"/>
      <c r="U150" s="9"/>
      <c r="V150" s="9"/>
      <c r="W150" s="9"/>
      <c r="X150" s="2" t="s">
        <v>630</v>
      </c>
    </row>
    <row r="151" spans="1:25">
      <c r="A151" s="106" t="s">
        <v>644</v>
      </c>
      <c r="B151" s="85"/>
      <c r="C151" s="85"/>
      <c r="D151" s="81" t="s">
        <v>645</v>
      </c>
      <c r="E151" s="9"/>
      <c r="F151" s="1">
        <v>1</v>
      </c>
      <c r="G151" s="2" t="s">
        <v>646</v>
      </c>
      <c r="H151" s="1">
        <v>273</v>
      </c>
      <c r="I151" s="9"/>
      <c r="J151" s="9"/>
      <c r="K151" s="9"/>
      <c r="L151" s="9"/>
      <c r="M151" s="9"/>
      <c r="N151" s="9"/>
      <c r="O151" s="9"/>
      <c r="P151" s="9"/>
      <c r="Q151" s="9"/>
      <c r="R151" s="9"/>
      <c r="S151" s="9"/>
      <c r="T151" s="9"/>
      <c r="U151" s="9"/>
      <c r="V151" s="9"/>
      <c r="W151" s="9"/>
      <c r="X151" s="2" t="s">
        <v>630</v>
      </c>
    </row>
    <row r="152" spans="1:25">
      <c r="A152" s="106" t="s">
        <v>647</v>
      </c>
      <c r="B152" s="85"/>
      <c r="C152" s="85"/>
      <c r="D152" s="81" t="s">
        <v>648</v>
      </c>
      <c r="E152" s="9"/>
      <c r="F152" s="1">
        <v>1</v>
      </c>
      <c r="G152" s="2" t="s">
        <v>649</v>
      </c>
      <c r="H152" s="1">
        <v>273</v>
      </c>
      <c r="I152" s="9"/>
      <c r="J152" s="9"/>
      <c r="K152" s="9"/>
      <c r="L152" s="9"/>
      <c r="M152" s="9"/>
      <c r="N152" s="9"/>
      <c r="O152" s="9"/>
      <c r="P152" s="9"/>
      <c r="Q152" s="9"/>
      <c r="R152" s="9"/>
      <c r="S152" s="9"/>
      <c r="T152" s="9"/>
      <c r="U152" s="9"/>
      <c r="V152" s="9"/>
      <c r="W152" s="9"/>
      <c r="X152" s="2" t="s">
        <v>630</v>
      </c>
    </row>
    <row r="153" spans="1:25">
      <c r="A153" s="106" t="s">
        <v>650</v>
      </c>
      <c r="B153" s="85"/>
      <c r="C153" s="85"/>
      <c r="D153" s="81" t="s">
        <v>651</v>
      </c>
      <c r="E153" s="9"/>
      <c r="F153" s="1">
        <v>1</v>
      </c>
      <c r="G153" s="2" t="s">
        <v>652</v>
      </c>
      <c r="H153" s="1">
        <v>273</v>
      </c>
      <c r="I153" s="9"/>
      <c r="J153" s="9"/>
      <c r="K153" s="9"/>
      <c r="L153" s="9"/>
      <c r="M153" s="9"/>
      <c r="N153" s="9"/>
      <c r="O153" s="9"/>
      <c r="P153" s="9"/>
      <c r="Q153" s="9"/>
      <c r="R153" s="9"/>
      <c r="S153" s="9"/>
      <c r="T153" s="9"/>
      <c r="U153" s="9"/>
      <c r="V153" s="9"/>
      <c r="W153" s="9"/>
      <c r="X153" s="2" t="s">
        <v>630</v>
      </c>
    </row>
    <row r="154" spans="1:25">
      <c r="A154" s="106" t="s">
        <v>653</v>
      </c>
      <c r="B154" s="85"/>
      <c r="C154" s="85"/>
      <c r="D154" s="81" t="s">
        <v>654</v>
      </c>
      <c r="E154" s="9"/>
      <c r="F154" s="1">
        <v>1</v>
      </c>
      <c r="G154" s="2" t="s">
        <v>655</v>
      </c>
      <c r="H154" s="1">
        <v>273</v>
      </c>
      <c r="I154" s="9"/>
      <c r="J154" s="9"/>
      <c r="K154" s="9"/>
      <c r="L154" s="9"/>
      <c r="M154" s="9"/>
      <c r="N154" s="9"/>
      <c r="O154" s="9"/>
      <c r="P154" s="9"/>
      <c r="Q154" s="9"/>
      <c r="R154" s="9"/>
      <c r="S154" s="9"/>
      <c r="T154" s="9"/>
      <c r="U154" s="9"/>
      <c r="V154" s="9"/>
      <c r="W154" s="9"/>
      <c r="X154" s="2" t="s">
        <v>630</v>
      </c>
    </row>
    <row r="155" spans="1:25">
      <c r="A155" s="106" t="s">
        <v>656</v>
      </c>
      <c r="B155" s="85"/>
      <c r="C155" s="85"/>
      <c r="D155" s="81" t="s">
        <v>657</v>
      </c>
      <c r="E155" s="9"/>
      <c r="F155" s="1">
        <v>1</v>
      </c>
      <c r="G155" s="2" t="s">
        <v>658</v>
      </c>
      <c r="H155" s="1">
        <v>273</v>
      </c>
      <c r="I155" s="9"/>
      <c r="J155" s="9"/>
      <c r="K155" s="9"/>
      <c r="L155" s="9"/>
      <c r="M155" s="9"/>
      <c r="N155" s="9"/>
      <c r="O155" s="9"/>
      <c r="P155" s="9"/>
      <c r="Q155" s="9"/>
      <c r="R155" s="9"/>
      <c r="S155" s="9"/>
      <c r="T155" s="9"/>
      <c r="U155" s="9"/>
      <c r="V155" s="9"/>
      <c r="W155" s="9"/>
      <c r="X155" s="2" t="s">
        <v>630</v>
      </c>
    </row>
    <row r="156" spans="1:25">
      <c r="A156" s="106" t="s">
        <v>659</v>
      </c>
      <c r="B156" s="85"/>
      <c r="C156" s="85"/>
      <c r="D156" s="81" t="s">
        <v>660</v>
      </c>
      <c r="E156" s="9"/>
      <c r="F156" s="1">
        <v>1</v>
      </c>
      <c r="G156" s="2" t="s">
        <v>661</v>
      </c>
      <c r="H156" s="1">
        <v>273</v>
      </c>
      <c r="I156" s="9"/>
      <c r="J156" s="9"/>
      <c r="K156" s="9"/>
      <c r="L156" s="9"/>
      <c r="M156" s="9"/>
      <c r="N156" s="9"/>
      <c r="O156" s="9"/>
      <c r="P156" s="9"/>
      <c r="Q156" s="9"/>
      <c r="R156" s="9"/>
      <c r="S156" s="9"/>
      <c r="T156" s="9"/>
      <c r="U156" s="9"/>
      <c r="V156" s="9"/>
      <c r="W156" s="9"/>
      <c r="X156" s="2" t="s">
        <v>630</v>
      </c>
    </row>
    <row r="157" spans="1:25">
      <c r="A157" s="106" t="s">
        <v>662</v>
      </c>
      <c r="B157" s="85"/>
      <c r="C157" s="85"/>
      <c r="D157" s="81" t="s">
        <v>663</v>
      </c>
      <c r="E157" s="9"/>
      <c r="F157" s="1">
        <v>1</v>
      </c>
      <c r="G157" s="2" t="s">
        <v>664</v>
      </c>
      <c r="H157" s="1">
        <v>273</v>
      </c>
      <c r="I157" s="9"/>
      <c r="J157" s="9"/>
      <c r="K157" s="9"/>
      <c r="L157" s="9"/>
      <c r="M157" s="9"/>
      <c r="N157" s="9"/>
      <c r="O157" s="9"/>
      <c r="P157" s="9"/>
      <c r="Q157" s="9"/>
      <c r="R157" s="9"/>
      <c r="S157" s="9"/>
      <c r="T157" s="9"/>
      <c r="U157" s="9"/>
      <c r="V157" s="9"/>
      <c r="W157" s="9"/>
      <c r="X157" s="2" t="s">
        <v>630</v>
      </c>
    </row>
    <row r="158" spans="1:25" ht="17">
      <c r="A158" s="81" t="s">
        <v>665</v>
      </c>
      <c r="B158" s="85"/>
      <c r="C158" s="85"/>
      <c r="D158" s="81" t="s">
        <v>666</v>
      </c>
      <c r="E158" s="9"/>
      <c r="F158" s="1">
        <v>1</v>
      </c>
      <c r="G158" s="2" t="s">
        <v>667</v>
      </c>
      <c r="H158" s="1">
        <v>273</v>
      </c>
      <c r="I158" s="9"/>
      <c r="J158" s="9"/>
      <c r="K158" s="9"/>
      <c r="L158" s="9"/>
      <c r="M158" s="9"/>
      <c r="N158" s="9"/>
      <c r="O158" s="9"/>
      <c r="P158" s="9"/>
      <c r="Q158" s="9"/>
      <c r="R158" s="9"/>
      <c r="S158" s="9"/>
      <c r="T158" s="9"/>
      <c r="U158" s="9"/>
      <c r="V158" s="9"/>
      <c r="W158" s="9"/>
      <c r="X158" s="110" t="s">
        <v>668</v>
      </c>
      <c r="Y158" s="70" t="s">
        <v>669</v>
      </c>
    </row>
    <row r="159" spans="1:25" ht="14">
      <c r="A159" s="81" t="s">
        <v>670</v>
      </c>
      <c r="B159" s="85"/>
      <c r="C159" s="85"/>
      <c r="D159" s="81" t="s">
        <v>671</v>
      </c>
      <c r="E159" s="9"/>
      <c r="F159" s="1">
        <v>1</v>
      </c>
      <c r="G159" s="2" t="s">
        <v>672</v>
      </c>
      <c r="H159" s="1">
        <v>273</v>
      </c>
      <c r="I159" s="9"/>
      <c r="J159" s="9"/>
      <c r="K159" s="9"/>
      <c r="L159" s="9"/>
      <c r="M159" s="9"/>
      <c r="N159" s="9"/>
      <c r="O159" s="9"/>
      <c r="P159" s="9"/>
      <c r="Q159" s="9"/>
      <c r="R159" s="9"/>
      <c r="S159" s="9"/>
      <c r="T159" s="9"/>
      <c r="U159" s="9"/>
      <c r="V159" s="9"/>
      <c r="W159" s="9"/>
      <c r="X159" s="110" t="s">
        <v>668</v>
      </c>
    </row>
    <row r="160" spans="1:25" ht="14">
      <c r="A160" s="81" t="s">
        <v>673</v>
      </c>
      <c r="B160" s="85"/>
      <c r="C160" s="85"/>
      <c r="D160" s="81" t="s">
        <v>674</v>
      </c>
      <c r="E160" s="9"/>
      <c r="F160" s="1">
        <v>1</v>
      </c>
      <c r="G160" s="2" t="s">
        <v>675</v>
      </c>
      <c r="H160" s="1">
        <v>273</v>
      </c>
      <c r="I160" s="9"/>
      <c r="J160" s="9"/>
      <c r="K160" s="9"/>
      <c r="L160" s="9"/>
      <c r="M160" s="9"/>
      <c r="N160" s="9"/>
      <c r="O160" s="9"/>
      <c r="P160" s="9"/>
      <c r="Q160" s="9"/>
      <c r="R160" s="9"/>
      <c r="S160" s="9"/>
      <c r="T160" s="9"/>
      <c r="U160" s="9"/>
      <c r="V160" s="9"/>
      <c r="W160" s="9"/>
      <c r="X160" s="110" t="s">
        <v>668</v>
      </c>
    </row>
    <row r="161" spans="1:24" ht="14">
      <c r="A161" s="81" t="s">
        <v>676</v>
      </c>
      <c r="B161" s="85"/>
      <c r="C161" s="85"/>
      <c r="D161" s="81" t="s">
        <v>677</v>
      </c>
      <c r="E161" s="9"/>
      <c r="F161" s="1">
        <v>1</v>
      </c>
      <c r="G161" s="2" t="s">
        <v>678</v>
      </c>
      <c r="H161" s="1">
        <v>273</v>
      </c>
      <c r="I161" s="9"/>
      <c r="J161" s="9"/>
      <c r="K161" s="9"/>
      <c r="L161" s="9"/>
      <c r="M161" s="9"/>
      <c r="N161" s="9"/>
      <c r="O161" s="9"/>
      <c r="P161" s="9"/>
      <c r="Q161" s="9"/>
      <c r="R161" s="9"/>
      <c r="S161" s="9"/>
      <c r="T161" s="9"/>
      <c r="U161" s="9"/>
      <c r="V161" s="9"/>
      <c r="W161" s="9"/>
      <c r="X161" s="110" t="s">
        <v>668</v>
      </c>
    </row>
    <row r="162" spans="1:24" ht="14">
      <c r="A162" s="81" t="s">
        <v>679</v>
      </c>
      <c r="B162" s="85"/>
      <c r="C162" s="85"/>
      <c r="D162" s="81" t="s">
        <v>680</v>
      </c>
      <c r="E162" s="9"/>
      <c r="F162" s="1">
        <v>1</v>
      </c>
      <c r="G162" s="2" t="s">
        <v>681</v>
      </c>
      <c r="H162" s="1">
        <v>273</v>
      </c>
      <c r="I162" s="9"/>
      <c r="J162" s="9"/>
      <c r="K162" s="9"/>
      <c r="L162" s="9"/>
      <c r="M162" s="9"/>
      <c r="N162" s="9"/>
      <c r="O162" s="9"/>
      <c r="P162" s="9"/>
      <c r="Q162" s="9"/>
      <c r="R162" s="9"/>
      <c r="S162" s="9"/>
      <c r="T162" s="9"/>
      <c r="U162" s="9"/>
      <c r="V162" s="9"/>
      <c r="W162" s="9"/>
      <c r="X162" s="110" t="s">
        <v>668</v>
      </c>
    </row>
    <row r="163" spans="1:24" ht="14">
      <c r="A163" s="81" t="s">
        <v>682</v>
      </c>
      <c r="B163" s="85"/>
      <c r="C163" s="85"/>
      <c r="D163" s="81" t="s">
        <v>683</v>
      </c>
      <c r="E163" s="9"/>
      <c r="F163" s="1">
        <v>1</v>
      </c>
      <c r="G163" s="2" t="s">
        <v>684</v>
      </c>
      <c r="H163" s="1">
        <v>273</v>
      </c>
      <c r="I163" s="9"/>
      <c r="J163" s="9"/>
      <c r="K163" s="9"/>
      <c r="L163" s="9"/>
      <c r="M163" s="9"/>
      <c r="N163" s="9"/>
      <c r="O163" s="9"/>
      <c r="P163" s="9"/>
      <c r="Q163" s="9"/>
      <c r="R163" s="9"/>
      <c r="S163" s="9"/>
      <c r="T163" s="9"/>
      <c r="U163" s="9"/>
      <c r="V163" s="9"/>
      <c r="W163" s="9"/>
      <c r="X163" s="110" t="s">
        <v>668</v>
      </c>
    </row>
    <row r="164" spans="1:24" ht="14">
      <c r="A164" s="81" t="s">
        <v>685</v>
      </c>
      <c r="B164" s="85"/>
      <c r="C164" s="85"/>
      <c r="D164" s="81" t="s">
        <v>686</v>
      </c>
      <c r="E164" s="9"/>
      <c r="F164" s="1">
        <v>1</v>
      </c>
      <c r="G164" s="2" t="s">
        <v>687</v>
      </c>
      <c r="H164" s="1">
        <v>273</v>
      </c>
      <c r="I164" s="9"/>
      <c r="J164" s="9"/>
      <c r="K164" s="9"/>
      <c r="L164" s="9"/>
      <c r="M164" s="9"/>
      <c r="N164" s="9"/>
      <c r="O164" s="9"/>
      <c r="P164" s="9"/>
      <c r="Q164" s="9"/>
      <c r="R164" s="9"/>
      <c r="S164" s="9"/>
      <c r="T164" s="9"/>
      <c r="U164" s="9"/>
      <c r="V164" s="9"/>
      <c r="W164" s="9"/>
      <c r="X164" s="110" t="s">
        <v>668</v>
      </c>
    </row>
    <row r="165" spans="1:24" ht="14">
      <c r="A165" s="81" t="s">
        <v>688</v>
      </c>
      <c r="B165" s="85"/>
      <c r="C165" s="85"/>
      <c r="D165" s="81" t="s">
        <v>689</v>
      </c>
      <c r="E165" s="9"/>
      <c r="F165" s="1">
        <v>1</v>
      </c>
      <c r="G165" s="2" t="s">
        <v>690</v>
      </c>
      <c r="H165" s="1">
        <v>273</v>
      </c>
      <c r="I165" s="9"/>
      <c r="J165" s="9"/>
      <c r="K165" s="9"/>
      <c r="L165" s="9"/>
      <c r="M165" s="9"/>
      <c r="N165" s="9"/>
      <c r="O165" s="9"/>
      <c r="P165" s="9"/>
      <c r="Q165" s="9"/>
      <c r="R165" s="9"/>
      <c r="S165" s="9"/>
      <c r="T165" s="9"/>
      <c r="U165" s="9"/>
      <c r="V165" s="9"/>
      <c r="W165" s="9"/>
      <c r="X165" s="110" t="s">
        <v>668</v>
      </c>
    </row>
    <row r="166" spans="1:24" ht="14">
      <c r="A166" s="81" t="s">
        <v>691</v>
      </c>
      <c r="B166" s="85"/>
      <c r="C166" s="85"/>
      <c r="D166" s="81" t="s">
        <v>692</v>
      </c>
      <c r="E166" s="9"/>
      <c r="F166" s="1">
        <v>1</v>
      </c>
      <c r="G166" s="2" t="s">
        <v>693</v>
      </c>
      <c r="H166" s="1">
        <v>273</v>
      </c>
      <c r="I166" s="9"/>
      <c r="J166" s="9"/>
      <c r="K166" s="9"/>
      <c r="L166" s="9"/>
      <c r="M166" s="9"/>
      <c r="N166" s="9"/>
      <c r="O166" s="9"/>
      <c r="P166" s="9"/>
      <c r="Q166" s="9"/>
      <c r="R166" s="9"/>
      <c r="S166" s="9"/>
      <c r="T166" s="9"/>
      <c r="U166" s="9"/>
      <c r="V166" s="9"/>
      <c r="W166" s="9"/>
      <c r="X166" s="110" t="s">
        <v>668</v>
      </c>
    </row>
    <row r="167" spans="1:24" ht="14">
      <c r="A167" s="81" t="s">
        <v>694</v>
      </c>
      <c r="B167" s="85"/>
      <c r="C167" s="85"/>
      <c r="D167" s="81" t="s">
        <v>695</v>
      </c>
      <c r="E167" s="9"/>
      <c r="F167" s="1">
        <v>1</v>
      </c>
      <c r="G167" s="2" t="s">
        <v>696</v>
      </c>
      <c r="H167" s="1">
        <v>273</v>
      </c>
      <c r="I167" s="9"/>
      <c r="J167" s="9"/>
      <c r="K167" s="9"/>
      <c r="L167" s="9"/>
      <c r="M167" s="9"/>
      <c r="N167" s="9"/>
      <c r="O167" s="9"/>
      <c r="P167" s="9"/>
      <c r="Q167" s="9"/>
      <c r="R167" s="9"/>
      <c r="S167" s="9"/>
      <c r="T167" s="9"/>
      <c r="U167" s="9"/>
      <c r="V167" s="9"/>
      <c r="W167" s="9"/>
      <c r="X167" s="110" t="s">
        <v>668</v>
      </c>
    </row>
    <row r="168" spans="1:24" ht="14">
      <c r="A168" s="81" t="s">
        <v>697</v>
      </c>
      <c r="B168" s="85"/>
      <c r="C168" s="85"/>
      <c r="D168" s="81" t="s">
        <v>698</v>
      </c>
      <c r="E168" s="9"/>
      <c r="F168" s="1">
        <v>1</v>
      </c>
      <c r="G168" s="2" t="s">
        <v>699</v>
      </c>
      <c r="H168" s="1">
        <v>273</v>
      </c>
      <c r="I168" s="9"/>
      <c r="J168" s="9"/>
      <c r="K168" s="9"/>
      <c r="L168" s="9"/>
      <c r="M168" s="9"/>
      <c r="N168" s="9"/>
      <c r="O168" s="9"/>
      <c r="P168" s="9"/>
      <c r="Q168" s="9"/>
      <c r="R168" s="9"/>
      <c r="S168" s="9"/>
      <c r="T168" s="9"/>
      <c r="U168" s="9"/>
      <c r="V168" s="9"/>
      <c r="W168" s="9"/>
      <c r="X168" s="110" t="s">
        <v>668</v>
      </c>
    </row>
    <row r="169" spans="1:24" ht="14">
      <c r="A169" s="81" t="s">
        <v>700</v>
      </c>
      <c r="B169" s="85"/>
      <c r="C169" s="85"/>
      <c r="D169" s="81" t="s">
        <v>701</v>
      </c>
      <c r="E169" s="9"/>
      <c r="F169" s="1">
        <v>1</v>
      </c>
      <c r="G169" s="2" t="s">
        <v>702</v>
      </c>
      <c r="H169" s="1">
        <v>273</v>
      </c>
      <c r="I169" s="9"/>
      <c r="J169" s="9"/>
      <c r="K169" s="9"/>
      <c r="L169" s="9"/>
      <c r="M169" s="9"/>
      <c r="N169" s="9"/>
      <c r="O169" s="9"/>
      <c r="P169" s="9"/>
      <c r="Q169" s="9"/>
      <c r="R169" s="9"/>
      <c r="S169" s="9"/>
      <c r="T169" s="9"/>
      <c r="U169" s="9"/>
      <c r="V169" s="9"/>
      <c r="W169" s="9"/>
      <c r="X169" s="110" t="s">
        <v>668</v>
      </c>
    </row>
  </sheetData>
  <autoFilter ref="E1:E169" xr:uid="{3DEBE336-2FBF-4052-A35F-ED87DD470E64}"/>
  <mergeCells count="5">
    <mergeCell ref="I1:K1"/>
    <mergeCell ref="N1:P1"/>
    <mergeCell ref="L1:M1"/>
    <mergeCell ref="V1:W1"/>
    <mergeCell ref="Q1:S1"/>
  </mergeCells>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85AC-E154-4D77-BE26-9E4CA959E510}">
  <dimension ref="A1:S112"/>
  <sheetViews>
    <sheetView zoomScale="78" zoomScaleNormal="62" workbookViewId="0">
      <pane xSplit="1" ySplit="2" topLeftCell="E18" activePane="bottomRight" state="frozen"/>
      <selection pane="topRight" activeCell="B1" sqref="B1"/>
      <selection pane="bottomLeft" activeCell="A3" sqref="A3"/>
      <selection pane="bottomRight" activeCell="F120" sqref="F120"/>
    </sheetView>
  </sheetViews>
  <sheetFormatPr baseColWidth="10" defaultColWidth="9" defaultRowHeight="13"/>
  <cols>
    <col min="1" max="1" width="33.1640625" style="86" bestFit="1" customWidth="1"/>
    <col min="2" max="2" width="9.5" style="15" bestFit="1" customWidth="1"/>
    <col min="3" max="3" width="10.6640625" style="15" customWidth="1"/>
    <col min="4" max="4" width="9.1640625" style="15" bestFit="1" customWidth="1"/>
    <col min="5" max="5" width="9.5" style="27" bestFit="1" customWidth="1"/>
    <col min="6" max="6" width="10.1640625" style="27" customWidth="1"/>
    <col min="7" max="7" width="9.1640625" style="27" bestFit="1" customWidth="1"/>
    <col min="8" max="8" width="8.6640625" style="27" bestFit="1" customWidth="1"/>
    <col min="9" max="10" width="9.6640625" style="27" bestFit="1" customWidth="1"/>
    <col min="11" max="12" width="13.6640625" style="51" bestFit="1" customWidth="1"/>
    <col min="13" max="13" width="9.1640625" style="1" customWidth="1"/>
    <col min="14" max="14" width="8.5" style="1" customWidth="1"/>
    <col min="15" max="15" width="11.1640625" style="13" bestFit="1" customWidth="1"/>
    <col min="16" max="16" width="9.33203125" style="14" bestFit="1" customWidth="1"/>
    <col min="17" max="17" width="9.33203125" style="15" bestFit="1" customWidth="1"/>
    <col min="18" max="18" width="9.1640625" style="1" bestFit="1" customWidth="1"/>
    <col min="19" max="16384" width="9" style="1"/>
  </cols>
  <sheetData>
    <row r="1" spans="1:19" s="86" customFormat="1" ht="15">
      <c r="B1" s="159" t="s">
        <v>703</v>
      </c>
      <c r="C1" s="159"/>
      <c r="D1" s="159"/>
      <c r="E1" s="160" t="s">
        <v>704</v>
      </c>
      <c r="F1" s="160"/>
      <c r="G1" s="160"/>
      <c r="H1" s="160"/>
      <c r="I1" s="186"/>
      <c r="J1" s="186"/>
      <c r="K1" s="187"/>
      <c r="L1" s="187"/>
      <c r="O1" s="159" t="s">
        <v>705</v>
      </c>
      <c r="P1" s="159"/>
      <c r="Q1" s="159" t="s">
        <v>706</v>
      </c>
      <c r="R1" s="159"/>
    </row>
    <row r="2" spans="1:19" s="101" customFormat="1" ht="15">
      <c r="A2" s="90" t="s">
        <v>707</v>
      </c>
      <c r="B2" s="95" t="s">
        <v>708</v>
      </c>
      <c r="C2" s="95" t="s">
        <v>707</v>
      </c>
      <c r="D2" s="95" t="s">
        <v>709</v>
      </c>
      <c r="E2" s="96" t="s">
        <v>708</v>
      </c>
      <c r="F2" s="96" t="s">
        <v>707</v>
      </c>
      <c r="G2" s="96" t="s">
        <v>710</v>
      </c>
      <c r="H2" s="96" t="s">
        <v>711</v>
      </c>
      <c r="I2" s="96" t="s">
        <v>712</v>
      </c>
      <c r="J2" s="96" t="s">
        <v>713</v>
      </c>
      <c r="K2" s="97" t="s">
        <v>714</v>
      </c>
      <c r="L2" s="97" t="s">
        <v>715</v>
      </c>
      <c r="M2" s="191" t="s">
        <v>716</v>
      </c>
      <c r="N2" s="191"/>
      <c r="O2" s="98" t="s">
        <v>717</v>
      </c>
      <c r="P2" s="99" t="s">
        <v>718</v>
      </c>
      <c r="Q2" s="100" t="s">
        <v>719</v>
      </c>
      <c r="R2" s="100" t="s">
        <v>720</v>
      </c>
      <c r="S2" s="101" t="s">
        <v>721</v>
      </c>
    </row>
    <row r="3" spans="1:19">
      <c r="A3" s="185" t="s">
        <v>722</v>
      </c>
      <c r="B3" s="22">
        <v>0.2</v>
      </c>
      <c r="C3" s="22">
        <v>0.2</v>
      </c>
      <c r="D3" s="15">
        <v>0.04</v>
      </c>
      <c r="E3" s="23">
        <v>1</v>
      </c>
      <c r="F3" s="23">
        <v>0.52</v>
      </c>
      <c r="G3" s="23">
        <v>0.17</v>
      </c>
      <c r="H3" s="24">
        <v>0.61899999999999999</v>
      </c>
      <c r="I3" s="24">
        <f>E3/(E3+G3)</f>
        <v>0.85470085470085477</v>
      </c>
      <c r="J3" s="23">
        <f t="shared" ref="I3:J5" si="0">F3/(F3+H3)</f>
        <v>0.45654082528533801</v>
      </c>
      <c r="K3" s="25">
        <f t="shared" ref="K3:L5" si="1">-LN(I3)</f>
        <v>0.15700374880966467</v>
      </c>
      <c r="L3" s="25">
        <f t="shared" si="1"/>
        <v>0.78407715187170912</v>
      </c>
      <c r="M3" s="26" cm="1">
        <f t="array" ref="M3:N7">LINEST(L3:L5,K3:K5,FALSE,TRUE)</f>
        <v>4.7967194525883077</v>
      </c>
      <c r="N3" s="26">
        <v>0</v>
      </c>
      <c r="O3" s="188">
        <f>TINV(0.32,N6)*M4</f>
        <v>0.12340848265336563</v>
      </c>
      <c r="P3" s="189">
        <f>O3*100/M3</f>
        <v>2.5727684070990322</v>
      </c>
      <c r="Q3" s="190">
        <f>-1.99*273*LN(M3)/1000</f>
        <v>-0.85181054632967967</v>
      </c>
      <c r="R3" s="190">
        <f>ABS(1.99*273*O3/M3/1000)</f>
        <v>1.3977078925246912E-2</v>
      </c>
      <c r="S3" s="79"/>
    </row>
    <row r="4" spans="1:19">
      <c r="A4" s="183"/>
      <c r="B4" s="22">
        <v>0.2</v>
      </c>
      <c r="C4" s="22">
        <v>0.2</v>
      </c>
      <c r="D4" s="15">
        <v>0.08</v>
      </c>
      <c r="E4" s="23">
        <v>1</v>
      </c>
      <c r="F4" s="23">
        <v>0.44800000000000001</v>
      </c>
      <c r="G4" s="23">
        <v>0.223</v>
      </c>
      <c r="H4" s="27">
        <v>0.72599999999999998</v>
      </c>
      <c r="I4" s="24">
        <f>E4/(E4+G4)</f>
        <v>0.81766148814390838</v>
      </c>
      <c r="J4" s="23">
        <f>F4/(F4+H4)</f>
        <v>0.38160136286201024</v>
      </c>
      <c r="K4" s="25">
        <f t="shared" si="1"/>
        <v>0.20130685670503537</v>
      </c>
      <c r="L4" s="25">
        <f t="shared" si="1"/>
        <v>0.96337876797305655</v>
      </c>
      <c r="M4" s="26">
        <v>9.4091573654167884E-2</v>
      </c>
      <c r="N4" s="26" t="e">
        <v>#N/A</v>
      </c>
      <c r="O4" s="177"/>
      <c r="P4" s="180"/>
      <c r="Q4" s="174"/>
      <c r="R4" s="174"/>
      <c r="S4" s="55"/>
    </row>
    <row r="5" spans="1:19">
      <c r="A5" s="183"/>
      <c r="B5" s="22">
        <v>0.2</v>
      </c>
      <c r="C5" s="22">
        <v>0.2</v>
      </c>
      <c r="D5" s="22">
        <v>0.12</v>
      </c>
      <c r="E5" s="23">
        <v>1</v>
      </c>
      <c r="F5" s="23">
        <v>0.53</v>
      </c>
      <c r="G5" s="23">
        <v>0.183</v>
      </c>
      <c r="H5" s="27">
        <v>0.626</v>
      </c>
      <c r="I5" s="24">
        <f t="shared" si="0"/>
        <v>0.84530853761622993</v>
      </c>
      <c r="J5" s="23">
        <f t="shared" si="0"/>
        <v>0.45847750865051901</v>
      </c>
      <c r="K5" s="25">
        <f t="shared" si="1"/>
        <v>0.16805358499624973</v>
      </c>
      <c r="L5" s="25">
        <f t="shared" si="1"/>
        <v>0.77984404268615537</v>
      </c>
      <c r="M5" s="26">
        <v>0.99923103117125045</v>
      </c>
      <c r="N5" s="26">
        <v>2.8758275641002924E-2</v>
      </c>
      <c r="O5" s="177"/>
      <c r="P5" s="180"/>
      <c r="Q5" s="174"/>
      <c r="R5" s="174"/>
      <c r="S5" s="55"/>
    </row>
    <row r="6" spans="1:19">
      <c r="A6" s="183"/>
      <c r="B6" s="28"/>
      <c r="C6" s="28"/>
      <c r="D6" s="28"/>
      <c r="E6" s="28"/>
      <c r="F6" s="28"/>
      <c r="G6" s="28"/>
      <c r="H6" s="28"/>
      <c r="I6" s="28"/>
      <c r="J6" s="28"/>
      <c r="K6" s="28"/>
      <c r="L6" s="28"/>
      <c r="M6" s="26">
        <v>2598.885660413921</v>
      </c>
      <c r="N6" s="26">
        <v>2</v>
      </c>
      <c r="O6" s="177"/>
      <c r="P6" s="180"/>
      <c r="Q6" s="174"/>
      <c r="R6" s="174"/>
      <c r="S6" s="55"/>
    </row>
    <row r="7" spans="1:19">
      <c r="A7" s="184"/>
      <c r="B7" s="28"/>
      <c r="C7" s="28"/>
      <c r="D7" s="28"/>
      <c r="E7" s="28"/>
      <c r="F7" s="28"/>
      <c r="G7" s="28"/>
      <c r="H7" s="28"/>
      <c r="I7" s="28"/>
      <c r="J7" s="28"/>
      <c r="K7" s="28"/>
      <c r="L7" s="28"/>
      <c r="M7" s="26">
        <v>2.149378284745934</v>
      </c>
      <c r="N7" s="26">
        <v>1.6540768356878043E-3</v>
      </c>
      <c r="O7" s="177"/>
      <c r="P7" s="181"/>
      <c r="Q7" s="175"/>
      <c r="R7" s="175"/>
      <c r="S7" s="55"/>
    </row>
    <row r="8" spans="1:19" s="19" customFormat="1">
      <c r="A8" s="182" t="s">
        <v>723</v>
      </c>
      <c r="B8" s="30">
        <v>0.2</v>
      </c>
      <c r="C8" s="30">
        <v>0.2</v>
      </c>
      <c r="D8" s="18">
        <v>0.04</v>
      </c>
      <c r="E8" s="31">
        <v>1.544</v>
      </c>
      <c r="F8" s="31">
        <v>1</v>
      </c>
      <c r="G8" s="31">
        <v>0.60599999999999998</v>
      </c>
      <c r="H8" s="32">
        <v>1.1499999999999999</v>
      </c>
      <c r="I8" s="32">
        <f t="shared" ref="I8:J10" si="2">E8/(E8+G8)</f>
        <v>0.71813953488372095</v>
      </c>
      <c r="J8" s="31">
        <f t="shared" si="2"/>
        <v>0.46511627906976744</v>
      </c>
      <c r="K8" s="33">
        <f t="shared" ref="K8:L10" si="3">-LN(I8)</f>
        <v>0.331091390536987</v>
      </c>
      <c r="L8" s="33">
        <f t="shared" si="3"/>
        <v>0.76546784213957142</v>
      </c>
      <c r="M8" s="34" cm="1">
        <f t="array" ref="M8:N12">LINEST(L8:L10,K8:K10,FALSE,TRUE)</f>
        <v>2.8942210597965805</v>
      </c>
      <c r="N8" s="34">
        <v>0</v>
      </c>
      <c r="O8" s="176">
        <f t="shared" ref="O8" si="4">TINV(0.32,N11)*M9</f>
        <v>0.33233658340303845</v>
      </c>
      <c r="P8" s="179">
        <f>O8*100/M8</f>
        <v>11.482764327144958</v>
      </c>
      <c r="Q8" s="173">
        <f>-1.99*273*LN(M8)/1000</f>
        <v>-0.57734172721296162</v>
      </c>
      <c r="R8" s="173">
        <f>ABS(1.99*273*O8/M8/1000)</f>
        <v>6.2382413760080413E-2</v>
      </c>
      <c r="S8" s="77"/>
    </row>
    <row r="9" spans="1:19">
      <c r="A9" s="183"/>
      <c r="B9" s="22">
        <v>0.2</v>
      </c>
      <c r="C9" s="22">
        <v>0.2</v>
      </c>
      <c r="D9" s="15">
        <v>0.08</v>
      </c>
      <c r="E9" s="23">
        <v>2.0449999999999999</v>
      </c>
      <c r="F9" s="23">
        <v>1</v>
      </c>
      <c r="G9" s="23">
        <v>1.111</v>
      </c>
      <c r="H9" s="27">
        <v>2.1560000000000001</v>
      </c>
      <c r="I9" s="24">
        <f t="shared" si="2"/>
        <v>0.64797211660329534</v>
      </c>
      <c r="J9" s="23">
        <f t="shared" si="2"/>
        <v>0.3168567807351077</v>
      </c>
      <c r="K9" s="25">
        <f t="shared" si="3"/>
        <v>0.4339076134888627</v>
      </c>
      <c r="L9" s="25">
        <f t="shared" si="3"/>
        <v>1.1493054029836278</v>
      </c>
      <c r="M9" s="26">
        <v>0.25338673195645761</v>
      </c>
      <c r="N9" s="26" t="e">
        <v>#N/A</v>
      </c>
      <c r="O9" s="177"/>
      <c r="P9" s="180"/>
      <c r="Q9" s="174"/>
      <c r="R9" s="174"/>
      <c r="S9" s="55"/>
    </row>
    <row r="10" spans="1:19">
      <c r="A10" s="183"/>
      <c r="B10" s="22">
        <v>0.2</v>
      </c>
      <c r="C10" s="22">
        <v>0.2</v>
      </c>
      <c r="D10" s="22">
        <v>0.12</v>
      </c>
      <c r="E10" s="23">
        <v>3.6920000000000002</v>
      </c>
      <c r="F10" s="23">
        <v>1</v>
      </c>
      <c r="G10" s="23">
        <v>2.9769999999999999</v>
      </c>
      <c r="H10" s="27">
        <v>5.6689999999999996</v>
      </c>
      <c r="I10" s="24">
        <f t="shared" si="2"/>
        <v>0.5536062378167641</v>
      </c>
      <c r="J10" s="23">
        <f t="shared" si="2"/>
        <v>0.14994751836857101</v>
      </c>
      <c r="K10" s="25">
        <f t="shared" si="3"/>
        <v>0.59130160700956358</v>
      </c>
      <c r="L10" s="25">
        <f t="shared" si="3"/>
        <v>1.8974699236501691</v>
      </c>
      <c r="M10" s="26">
        <v>0.9849017282786694</v>
      </c>
      <c r="N10" s="26">
        <v>0.20389917377557473</v>
      </c>
      <c r="O10" s="177"/>
      <c r="P10" s="180"/>
      <c r="Q10" s="174"/>
      <c r="R10" s="174"/>
      <c r="S10" s="55"/>
    </row>
    <row r="11" spans="1:19">
      <c r="A11" s="183"/>
      <c r="B11" s="28"/>
      <c r="C11" s="28"/>
      <c r="D11" s="28"/>
      <c r="E11" s="28"/>
      <c r="F11" s="28"/>
      <c r="G11" s="28"/>
      <c r="H11" s="28"/>
      <c r="I11" s="28"/>
      <c r="J11" s="28"/>
      <c r="K11" s="28"/>
      <c r="L11" s="28"/>
      <c r="M11" s="26">
        <v>130.46549253544254</v>
      </c>
      <c r="N11" s="26">
        <v>2</v>
      </c>
      <c r="O11" s="177"/>
      <c r="P11" s="180"/>
      <c r="Q11" s="174"/>
      <c r="R11" s="174"/>
      <c r="S11" s="55"/>
    </row>
    <row r="12" spans="1:19">
      <c r="A12" s="184"/>
      <c r="B12" s="29"/>
      <c r="C12" s="29"/>
      <c r="D12" s="29"/>
      <c r="E12" s="29"/>
      <c r="F12" s="29"/>
      <c r="G12" s="29"/>
      <c r="H12" s="29"/>
      <c r="I12" s="29"/>
      <c r="J12" s="29"/>
      <c r="K12" s="29"/>
      <c r="L12" s="29"/>
      <c r="M12" s="26">
        <v>5.4240862917014256</v>
      </c>
      <c r="N12" s="26">
        <v>8.3149746132724051E-2</v>
      </c>
      <c r="O12" s="177"/>
      <c r="P12" s="181"/>
      <c r="Q12" s="175"/>
      <c r="R12" s="175"/>
      <c r="S12" s="55"/>
    </row>
    <row r="13" spans="1:19">
      <c r="A13" s="161" t="s">
        <v>870</v>
      </c>
      <c r="B13" s="118">
        <v>0.2</v>
      </c>
      <c r="C13" s="118">
        <v>0.2</v>
      </c>
      <c r="D13" s="119">
        <v>0.02</v>
      </c>
      <c r="E13" s="120">
        <v>1</v>
      </c>
      <c r="F13" s="120">
        <f>3.5536/4</f>
        <v>0.88839999999999997</v>
      </c>
      <c r="G13" s="120">
        <v>7.7600000000000002E-2</v>
      </c>
      <c r="H13" s="121">
        <v>0.2142</v>
      </c>
      <c r="I13" s="121">
        <f t="shared" ref="I13:J15" si="5">E13/(E13+G13)</f>
        <v>0.92798812175204171</v>
      </c>
      <c r="J13" s="120">
        <f t="shared" si="5"/>
        <v>0.80573190640304726</v>
      </c>
      <c r="K13" s="122">
        <f t="shared" ref="K13:L15" si="6">-LN(I13)</f>
        <v>7.4736346114017041E-2</v>
      </c>
      <c r="L13" s="122">
        <f t="shared" si="6"/>
        <v>0.21600421413531093</v>
      </c>
      <c r="M13" s="123" cm="1">
        <f t="array" ref="M13:N17">LINEST(L13:L16,K13:K16,FALSE,TRUE)</f>
        <v>2.5914182765801308</v>
      </c>
      <c r="N13" s="123">
        <v>0</v>
      </c>
      <c r="O13" s="164">
        <f>TINV(0.32,N16)*M14</f>
        <v>4.2934291683947585E-2</v>
      </c>
      <c r="P13" s="167">
        <f>O13*100/M13</f>
        <v>1.6567874075738767</v>
      </c>
      <c r="Q13" s="170">
        <f>-1.99*273*LN(M13)/1000</f>
        <v>-0.51730458580992977</v>
      </c>
      <c r="R13" s="170">
        <f>ABS(1.99*273*O13/M13/1000)</f>
        <v>9.0008289491265991E-3</v>
      </c>
      <c r="S13" s="124"/>
    </row>
    <row r="14" spans="1:19">
      <c r="A14" s="162" t="s">
        <v>821</v>
      </c>
      <c r="B14" s="125">
        <v>0.2</v>
      </c>
      <c r="C14" s="125">
        <v>0.2</v>
      </c>
      <c r="D14" s="126">
        <v>0.04</v>
      </c>
      <c r="E14" s="127">
        <v>1</v>
      </c>
      <c r="F14" s="127">
        <f>3.0628/4</f>
        <v>0.76570000000000005</v>
      </c>
      <c r="G14" s="127">
        <v>0.16370000000000001</v>
      </c>
      <c r="H14" s="128">
        <v>0.37930000000000003</v>
      </c>
      <c r="I14" s="129">
        <f t="shared" si="5"/>
        <v>0.85932800549969923</v>
      </c>
      <c r="J14" s="127">
        <f t="shared" si="5"/>
        <v>0.66873362445414852</v>
      </c>
      <c r="K14" s="130">
        <f t="shared" si="6"/>
        <v>0.15160458413189412</v>
      </c>
      <c r="L14" s="130">
        <f t="shared" si="6"/>
        <v>0.4023694678692622</v>
      </c>
      <c r="M14" s="131">
        <v>3.6111748314153355E-2</v>
      </c>
      <c r="N14" s="131" t="e">
        <v>#N/A</v>
      </c>
      <c r="O14" s="165"/>
      <c r="P14" s="168"/>
      <c r="Q14" s="171"/>
      <c r="R14" s="171"/>
      <c r="S14" s="132"/>
    </row>
    <row r="15" spans="1:19">
      <c r="A15" s="162" t="s">
        <v>822</v>
      </c>
      <c r="B15" s="125">
        <v>0.2</v>
      </c>
      <c r="C15" s="125">
        <v>0.2</v>
      </c>
      <c r="D15" s="125">
        <v>0.06</v>
      </c>
      <c r="E15" s="127">
        <v>1</v>
      </c>
      <c r="F15" s="127">
        <f>2.5441/4</f>
        <v>0.63602499999999995</v>
      </c>
      <c r="G15" s="127">
        <v>0.25569999999999998</v>
      </c>
      <c r="H15" s="128">
        <v>0.51490000000000002</v>
      </c>
      <c r="I15" s="129">
        <f t="shared" si="5"/>
        <v>0.79636855936927609</v>
      </c>
      <c r="J15" s="127">
        <f t="shared" si="5"/>
        <v>0.55262071811803548</v>
      </c>
      <c r="K15" s="130">
        <f t="shared" si="6"/>
        <v>0.22769318601278116</v>
      </c>
      <c r="L15" s="130">
        <f t="shared" si="6"/>
        <v>0.59308337512535325</v>
      </c>
      <c r="M15" s="131">
        <v>0.99941777571098833</v>
      </c>
      <c r="N15" s="131">
        <v>1.5632221686813354E-2</v>
      </c>
      <c r="O15" s="165"/>
      <c r="P15" s="168"/>
      <c r="Q15" s="171"/>
      <c r="R15" s="171"/>
      <c r="S15" s="132"/>
    </row>
    <row r="16" spans="1:19">
      <c r="A16" s="162"/>
      <c r="B16" s="125">
        <v>0.2</v>
      </c>
      <c r="C16" s="125">
        <v>0.2</v>
      </c>
      <c r="D16" s="125">
        <v>0.08</v>
      </c>
      <c r="E16" s="127">
        <v>1</v>
      </c>
      <c r="F16" s="127">
        <f>2.149/4</f>
        <v>0.53725000000000001</v>
      </c>
      <c r="G16" s="127">
        <v>0.38690000000000002</v>
      </c>
      <c r="H16" s="128">
        <v>0.70220000000000005</v>
      </c>
      <c r="I16" s="129">
        <f t="shared" ref="I16" si="7">E16/(E16+G16)</f>
        <v>0.72103251856658734</v>
      </c>
      <c r="J16" s="127">
        <f t="shared" ref="J16" si="8">F16/(F16+H16)</f>
        <v>0.43345838880148446</v>
      </c>
      <c r="K16" s="130">
        <f t="shared" ref="K16" si="9">-LN(I16)</f>
        <v>0.32707104068015241</v>
      </c>
      <c r="L16" s="130">
        <f t="shared" ref="L16" si="10">-LN(J16)</f>
        <v>0.83595947629268341</v>
      </c>
      <c r="M16" s="131">
        <v>5149.6534646855962</v>
      </c>
      <c r="N16" s="131">
        <v>3</v>
      </c>
      <c r="O16" s="165"/>
      <c r="P16" s="168"/>
      <c r="Q16" s="171"/>
      <c r="R16" s="171"/>
      <c r="S16" s="132"/>
    </row>
    <row r="17" spans="1:19">
      <c r="A17" s="163"/>
      <c r="B17" s="133"/>
      <c r="C17" s="133"/>
      <c r="D17" s="133"/>
      <c r="E17" s="134"/>
      <c r="F17" s="134"/>
      <c r="G17" s="134"/>
      <c r="H17" s="134"/>
      <c r="I17" s="134"/>
      <c r="J17" s="134"/>
      <c r="K17" s="135"/>
      <c r="L17" s="135"/>
      <c r="M17" s="131">
        <v>1.2584020459866274</v>
      </c>
      <c r="N17" s="131">
        <v>7.3309906459703331E-4</v>
      </c>
      <c r="O17" s="166"/>
      <c r="P17" s="169"/>
      <c r="Q17" s="172"/>
      <c r="R17" s="172"/>
      <c r="S17" s="136"/>
    </row>
    <row r="18" spans="1:19" s="19" customFormat="1">
      <c r="A18" s="161" t="s">
        <v>902</v>
      </c>
      <c r="B18" s="118">
        <v>0.2</v>
      </c>
      <c r="C18" s="118">
        <v>0.2</v>
      </c>
      <c r="D18" s="119">
        <v>0.02</v>
      </c>
      <c r="E18" s="120">
        <v>1</v>
      </c>
      <c r="F18" s="120">
        <f>1.43/3</f>
        <v>0.47666666666666663</v>
      </c>
      <c r="G18" s="120">
        <v>0.14000000000000001</v>
      </c>
      <c r="H18" s="121">
        <f>0.0378+0.0717</f>
        <v>0.1095</v>
      </c>
      <c r="I18" s="121">
        <f t="shared" ref="I18:J21" si="11">E18/(E18+G18)</f>
        <v>0.8771929824561403</v>
      </c>
      <c r="J18" s="120">
        <f t="shared" si="11"/>
        <v>0.81319306226897925</v>
      </c>
      <c r="K18" s="122">
        <f t="shared" ref="K18:L21" si="12">-LN(I18)</f>
        <v>0.13102826240640414</v>
      </c>
      <c r="L18" s="122">
        <f t="shared" si="12"/>
        <v>0.20678672866008418</v>
      </c>
      <c r="M18" s="123" cm="1">
        <f t="array" ref="M18:N22">LINEST(L18:L21,K18:K21,FALSE,TRUE)</f>
        <v>2.037157842656395</v>
      </c>
      <c r="N18" s="123">
        <v>0</v>
      </c>
      <c r="O18" s="164">
        <f>TINV(0.32,N21)*M19</f>
        <v>0.14602393065904129</v>
      </c>
      <c r="P18" s="167">
        <f>O18*100/M18</f>
        <v>7.1680224085449513</v>
      </c>
      <c r="Q18" s="170">
        <f>-1.99*273*LN(M18)/1000</f>
        <v>-0.38656682278918614</v>
      </c>
      <c r="R18" s="170">
        <f>ABS(1.99*273*O18/M18/1000)</f>
        <v>3.8941715338902158E-2</v>
      </c>
      <c r="S18" s="124"/>
    </row>
    <row r="19" spans="1:19">
      <c r="A19" s="162" t="s">
        <v>821</v>
      </c>
      <c r="B19" s="125">
        <v>0.2</v>
      </c>
      <c r="C19" s="125">
        <v>0.2</v>
      </c>
      <c r="D19" s="126">
        <v>0.04</v>
      </c>
      <c r="E19" s="127">
        <v>1</v>
      </c>
      <c r="F19" s="127">
        <f>1.04/3</f>
        <v>0.34666666666666668</v>
      </c>
      <c r="G19" s="127">
        <v>0.217</v>
      </c>
      <c r="H19" s="128">
        <f>0.0512+0.0952</f>
        <v>0.1464</v>
      </c>
      <c r="I19" s="129">
        <f t="shared" si="11"/>
        <v>0.82169268693508624</v>
      </c>
      <c r="J19" s="127">
        <f t="shared" si="11"/>
        <v>0.70308274743104382</v>
      </c>
      <c r="K19" s="130">
        <f t="shared" si="12"/>
        <v>0.19638881400539018</v>
      </c>
      <c r="L19" s="130">
        <f t="shared" si="12"/>
        <v>0.35228068793749673</v>
      </c>
      <c r="M19" s="131">
        <v>0.12281976073158871</v>
      </c>
      <c r="N19" s="131" t="e">
        <v>#N/A</v>
      </c>
      <c r="O19" s="165"/>
      <c r="P19" s="168"/>
      <c r="Q19" s="171"/>
      <c r="R19" s="171"/>
      <c r="S19" s="132"/>
    </row>
    <row r="20" spans="1:19">
      <c r="A20" s="162" t="s">
        <v>822</v>
      </c>
      <c r="B20" s="125">
        <v>0.2</v>
      </c>
      <c r="C20" s="125">
        <v>0.2</v>
      </c>
      <c r="D20" s="125">
        <v>0.06</v>
      </c>
      <c r="E20" s="127">
        <v>1</v>
      </c>
      <c r="F20" s="127">
        <f>0.7907/3</f>
        <v>0.26356666666666667</v>
      </c>
      <c r="G20" s="127">
        <v>0.26889999999999997</v>
      </c>
      <c r="H20" s="128">
        <f>0.0596+0.1144</f>
        <v>0.17399999999999999</v>
      </c>
      <c r="I20" s="129">
        <f t="shared" si="11"/>
        <v>0.78808416738907716</v>
      </c>
      <c r="J20" s="127">
        <f t="shared" si="11"/>
        <v>0.60234630913384635</v>
      </c>
      <c r="K20" s="130">
        <f t="shared" si="12"/>
        <v>0.23815038342073183</v>
      </c>
      <c r="L20" s="130">
        <f t="shared" si="12"/>
        <v>0.50692273473248028</v>
      </c>
      <c r="M20" s="131">
        <v>0.98921306081965432</v>
      </c>
      <c r="N20" s="131">
        <v>5.2855666010426773E-2</v>
      </c>
      <c r="O20" s="165"/>
      <c r="P20" s="168"/>
      <c r="Q20" s="171"/>
      <c r="R20" s="171"/>
      <c r="S20" s="132"/>
    </row>
    <row r="21" spans="1:19">
      <c r="A21" s="162"/>
      <c r="B21" s="125">
        <v>0.2</v>
      </c>
      <c r="C21" s="125">
        <v>0.2</v>
      </c>
      <c r="D21" s="125">
        <v>0.08</v>
      </c>
      <c r="E21" s="127">
        <v>1</v>
      </c>
      <c r="F21" s="127">
        <f>0.6882/3</f>
        <v>0.22940000000000002</v>
      </c>
      <c r="G21" s="127">
        <v>0.30959999999999999</v>
      </c>
      <c r="H21" s="128">
        <f>0.0653+0.1209</f>
        <v>0.18619999999999998</v>
      </c>
      <c r="I21" s="125">
        <f t="shared" si="11"/>
        <v>0.7635919364691508</v>
      </c>
      <c r="J21" s="127">
        <f t="shared" si="11"/>
        <v>0.55197305101058725</v>
      </c>
      <c r="K21" s="125">
        <f t="shared" si="12"/>
        <v>0.26972174707478819</v>
      </c>
      <c r="L21" s="130">
        <f t="shared" si="12"/>
        <v>0.59425605452980179</v>
      </c>
      <c r="M21" s="131">
        <v>275.11411094874205</v>
      </c>
      <c r="N21" s="131">
        <v>3</v>
      </c>
      <c r="O21" s="165"/>
      <c r="P21" s="168"/>
      <c r="Q21" s="171"/>
      <c r="R21" s="171"/>
      <c r="S21" s="132"/>
    </row>
    <row r="22" spans="1:19">
      <c r="A22" s="163"/>
      <c r="B22" s="133"/>
      <c r="C22" s="133"/>
      <c r="D22" s="133"/>
      <c r="E22" s="134"/>
      <c r="F22" s="134"/>
      <c r="G22" s="134"/>
      <c r="H22" s="134"/>
      <c r="I22" s="134"/>
      <c r="J22" s="134"/>
      <c r="K22" s="135"/>
      <c r="L22" s="135"/>
      <c r="M22" s="131">
        <v>0.76859218728942114</v>
      </c>
      <c r="N22" s="131">
        <v>8.3811642882173527E-3</v>
      </c>
      <c r="O22" s="166"/>
      <c r="P22" s="169"/>
      <c r="Q22" s="172"/>
      <c r="R22" s="172"/>
      <c r="S22" s="136"/>
    </row>
    <row r="23" spans="1:19" s="38" customFormat="1">
      <c r="A23" s="150" t="s">
        <v>903</v>
      </c>
      <c r="B23" s="151"/>
      <c r="C23" s="151"/>
      <c r="D23" s="151"/>
      <c r="E23" s="152"/>
      <c r="F23" s="152"/>
      <c r="G23" s="152"/>
      <c r="H23" s="152"/>
      <c r="I23" s="152"/>
      <c r="J23" s="152"/>
      <c r="K23" s="153"/>
      <c r="L23" s="153"/>
      <c r="M23" s="154">
        <f>M18*2*0.1209/(0.0653+0.1209)</f>
        <v>2.6454606141477788</v>
      </c>
      <c r="N23" s="153"/>
      <c r="O23" s="155">
        <f>O18*2*0.25/(0.24+0.25)</f>
        <v>0.14900401087657275</v>
      </c>
      <c r="P23" s="156">
        <f>O18*100/M18</f>
        <v>7.1680224085449513</v>
      </c>
      <c r="Q23" s="157">
        <f>-1.99*273*LN(M23)/1000</f>
        <v>-0.52851760929637237</v>
      </c>
      <c r="R23" s="157">
        <f>ABS(1.99*273*O23/M23/1000)</f>
        <v>3.059936275596116E-2</v>
      </c>
      <c r="S23" s="158"/>
    </row>
    <row r="24" spans="1:19">
      <c r="A24" s="147" t="s">
        <v>904</v>
      </c>
      <c r="B24" s="133"/>
      <c r="C24" s="133"/>
      <c r="D24" s="133"/>
      <c r="E24" s="134"/>
      <c r="F24" s="134"/>
      <c r="G24" s="134"/>
      <c r="H24" s="134"/>
      <c r="I24" s="134"/>
      <c r="J24" s="134"/>
      <c r="K24" s="135"/>
      <c r="L24" s="135"/>
      <c r="M24" s="131">
        <f>M18*2*0.0653/(0.0653+0.1209)</f>
        <v>1.4288550711650119</v>
      </c>
      <c r="N24" s="135"/>
      <c r="O24" s="148">
        <f>O18*2*0.24/(0.24+0.25)</f>
        <v>0.14304385044150983</v>
      </c>
      <c r="P24" s="149">
        <f>O18*100/M18</f>
        <v>7.1680224085449513</v>
      </c>
      <c r="Q24" s="126">
        <f>-1.99*273*LN(M24)/1000</f>
        <v>-0.19387865224488063</v>
      </c>
      <c r="R24" s="126">
        <f>ABS(1.99*273*O24/M24/1000)</f>
        <v>5.4387204271177277E-2</v>
      </c>
      <c r="S24" s="132"/>
    </row>
    <row r="25" spans="1:19">
      <c r="A25" s="161" t="s">
        <v>451</v>
      </c>
      <c r="B25" s="118">
        <v>0.2</v>
      </c>
      <c r="C25" s="118">
        <v>0.2</v>
      </c>
      <c r="D25" s="119">
        <v>0.02</v>
      </c>
      <c r="E25" s="120">
        <f>(6.4886-2)/4</f>
        <v>1.12215</v>
      </c>
      <c r="F25" s="120">
        <v>1</v>
      </c>
      <c r="G25" s="120">
        <v>6.5699999999999995E-2</v>
      </c>
      <c r="H25" s="121">
        <v>0.1391</v>
      </c>
      <c r="I25" s="121">
        <f t="shared" ref="I25:J27" si="13">E25/(E25+G25)</f>
        <v>0.94468998610935717</v>
      </c>
      <c r="J25" s="120">
        <f t="shared" si="13"/>
        <v>0.87788605039065926</v>
      </c>
      <c r="K25" s="122">
        <f t="shared" ref="K25:L27" si="14">-LN(I25)</f>
        <v>5.689846233800764E-2</v>
      </c>
      <c r="L25" s="122">
        <f t="shared" si="14"/>
        <v>0.13023847692372933</v>
      </c>
      <c r="M25" s="123" cm="1">
        <f t="array" ref="M25:N29">LINEST(L25:L28,K25:K28,FALSE,TRUE)</f>
        <v>1.9529747733272855</v>
      </c>
      <c r="N25" s="123">
        <v>0</v>
      </c>
      <c r="O25" s="164">
        <f>TINV(0.32,N28)*M26</f>
        <v>5.162932150013403E-2</v>
      </c>
      <c r="P25" s="167">
        <f>O25*100/M25</f>
        <v>2.6436245979856201</v>
      </c>
      <c r="Q25" s="170">
        <f>-1.99*273*LN(M25)/1000</f>
        <v>-0.36363980357433884</v>
      </c>
      <c r="R25" s="170">
        <f>ABS(1.99*273*O25/M25/1000)</f>
        <v>1.4362019353476479E-2</v>
      </c>
      <c r="S25" s="124"/>
    </row>
    <row r="26" spans="1:19">
      <c r="A26" s="162" t="s">
        <v>821</v>
      </c>
      <c r="B26" s="125">
        <v>0.2</v>
      </c>
      <c r="C26" s="125">
        <v>0.2</v>
      </c>
      <c r="D26" s="126">
        <v>0.04</v>
      </c>
      <c r="E26" s="127">
        <f>(6.589-2)/4</f>
        <v>1.1472500000000001</v>
      </c>
      <c r="F26" s="127">
        <v>1</v>
      </c>
      <c r="G26" s="127">
        <v>0.15260000000000001</v>
      </c>
      <c r="H26" s="128">
        <v>0.27460000000000001</v>
      </c>
      <c r="I26" s="129">
        <f t="shared" si="13"/>
        <v>0.88260183867369313</v>
      </c>
      <c r="J26" s="127">
        <f t="shared" si="13"/>
        <v>0.7845598619174643</v>
      </c>
      <c r="K26" s="130">
        <f t="shared" si="14"/>
        <v>0.12488109890198375</v>
      </c>
      <c r="L26" s="130">
        <f t="shared" si="14"/>
        <v>0.24263240389805671</v>
      </c>
      <c r="M26" s="131">
        <v>4.3425080291715261E-2</v>
      </c>
      <c r="N26" s="131" t="e">
        <v>#N/A</v>
      </c>
      <c r="O26" s="165"/>
      <c r="P26" s="168"/>
      <c r="Q26" s="171"/>
      <c r="R26" s="171"/>
      <c r="S26" s="132"/>
    </row>
    <row r="27" spans="1:19">
      <c r="A27" s="162" t="s">
        <v>822</v>
      </c>
      <c r="B27" s="125">
        <v>0.2</v>
      </c>
      <c r="C27" s="125">
        <v>0.2</v>
      </c>
      <c r="D27" s="125">
        <v>0.06</v>
      </c>
      <c r="E27" s="127">
        <f>(7.0095-2)/4</f>
        <v>1.252375</v>
      </c>
      <c r="F27" s="127">
        <v>1</v>
      </c>
      <c r="G27" s="127">
        <v>0.24410000000000001</v>
      </c>
      <c r="H27" s="128">
        <v>0.39900000000000002</v>
      </c>
      <c r="I27" s="129">
        <f t="shared" si="13"/>
        <v>0.83688334252159247</v>
      </c>
      <c r="J27" s="127">
        <f t="shared" si="13"/>
        <v>0.71479628305932807</v>
      </c>
      <c r="K27" s="130">
        <f t="shared" si="14"/>
        <v>0.17807059392727712</v>
      </c>
      <c r="L27" s="130">
        <f t="shared" si="14"/>
        <v>0.33575769568334413</v>
      </c>
      <c r="M27" s="131">
        <v>0.99851896416959129</v>
      </c>
      <c r="N27" s="131">
        <v>1.3457864959172632E-2</v>
      </c>
      <c r="O27" s="165"/>
      <c r="P27" s="168"/>
      <c r="Q27" s="171"/>
      <c r="R27" s="171"/>
      <c r="S27" s="132"/>
    </row>
    <row r="28" spans="1:19">
      <c r="A28" s="162"/>
      <c r="B28" s="125">
        <v>0.2</v>
      </c>
      <c r="C28" s="125">
        <v>0.2</v>
      </c>
      <c r="D28" s="125">
        <v>0.08</v>
      </c>
      <c r="E28" s="127">
        <f>(7.3278-2)/4</f>
        <v>1.33195</v>
      </c>
      <c r="F28" s="127">
        <v>1</v>
      </c>
      <c r="G28" s="127">
        <v>0.31669999999999998</v>
      </c>
      <c r="H28" s="128">
        <v>0.52539999999999998</v>
      </c>
      <c r="I28" s="129">
        <f t="shared" ref="I28" si="15">E28/(E28+G28)</f>
        <v>0.80790343614472448</v>
      </c>
      <c r="J28" s="127">
        <f t="shared" ref="J28" si="16">F28/(F28+H28)</f>
        <v>0.65556575324505051</v>
      </c>
      <c r="K28" s="130">
        <f t="shared" ref="K28" si="17">-LN(I28)</f>
        <v>0.21331273732477316</v>
      </c>
      <c r="L28" s="130">
        <f t="shared" ref="L28" si="18">-LN(J28)</f>
        <v>0.42225667074800111</v>
      </c>
      <c r="M28" s="131">
        <v>2022.6093326061994</v>
      </c>
      <c r="N28" s="131">
        <v>3</v>
      </c>
      <c r="O28" s="165"/>
      <c r="P28" s="168"/>
      <c r="Q28" s="171"/>
      <c r="R28" s="171"/>
      <c r="S28" s="132"/>
    </row>
    <row r="29" spans="1:19">
      <c r="A29" s="163"/>
      <c r="B29" s="133"/>
      <c r="C29" s="133"/>
      <c r="D29" s="133"/>
      <c r="E29" s="134"/>
      <c r="F29" s="134"/>
      <c r="G29" s="134"/>
      <c r="H29" s="134"/>
      <c r="I29" s="134"/>
      <c r="J29" s="134"/>
      <c r="K29" s="135"/>
      <c r="L29" s="135"/>
      <c r="M29" s="131">
        <v>0.36632312810675949</v>
      </c>
      <c r="N29" s="131">
        <v>5.433423877779798E-4</v>
      </c>
      <c r="O29" s="166"/>
      <c r="P29" s="169"/>
      <c r="Q29" s="172"/>
      <c r="R29" s="172"/>
      <c r="S29" s="136"/>
    </row>
    <row r="30" spans="1:19" s="19" customFormat="1">
      <c r="A30" s="161" t="s">
        <v>869</v>
      </c>
      <c r="B30" s="118">
        <v>0.2</v>
      </c>
      <c r="C30" s="118">
        <v>0.2</v>
      </c>
      <c r="D30" s="119">
        <v>0.02</v>
      </c>
      <c r="E30" s="120">
        <v>1</v>
      </c>
      <c r="F30" s="120">
        <v>0.81679999999999997</v>
      </c>
      <c r="G30" s="120">
        <v>0.1244</v>
      </c>
      <c r="H30" s="121">
        <f>0.1856+0.0269</f>
        <v>0.21249999999999999</v>
      </c>
      <c r="I30" s="121">
        <f t="shared" ref="I30:J32" si="19">E30/(E30+G30)</f>
        <v>0.88936321593738876</v>
      </c>
      <c r="J30" s="120">
        <f t="shared" si="19"/>
        <v>0.79354901389293697</v>
      </c>
      <c r="K30" s="122">
        <f t="shared" ref="K30:L32" si="20">-LN(I30)</f>
        <v>0.11724956005023984</v>
      </c>
      <c r="L30" s="122">
        <f t="shared" si="20"/>
        <v>0.2312399716820579</v>
      </c>
      <c r="M30" s="123" cm="1">
        <f t="array" ref="M30:N34">LINEST(L30:L32,K30:K32,FALSE,TRUE)</f>
        <v>1.9395529315142208</v>
      </c>
      <c r="N30" s="123">
        <v>0</v>
      </c>
      <c r="O30" s="164">
        <f>TINV(0.32,N33)*M31</f>
        <v>9.453186570475074E-3</v>
      </c>
      <c r="P30" s="167">
        <f>O30*100/M30</f>
        <v>0.48738997615780011</v>
      </c>
      <c r="Q30" s="170">
        <f>-1.99*273*LN(M30)/1000</f>
        <v>-0.35989328539752835</v>
      </c>
      <c r="R30" s="170">
        <f>ABS(1.99*273*O30/M30/1000)</f>
        <v>2.6478435234724811E-3</v>
      </c>
      <c r="S30" s="124"/>
    </row>
    <row r="31" spans="1:19">
      <c r="A31" s="162" t="s">
        <v>821</v>
      </c>
      <c r="B31" s="125">
        <v>0.2</v>
      </c>
      <c r="C31" s="125">
        <v>0.2</v>
      </c>
      <c r="D31" s="126">
        <v>0.04</v>
      </c>
      <c r="E31" s="127">
        <v>1</v>
      </c>
      <c r="F31" s="127">
        <v>0.76080000000000003</v>
      </c>
      <c r="G31" s="127">
        <v>0.2427</v>
      </c>
      <c r="H31" s="128">
        <f>0.3486+0.049</f>
        <v>0.39760000000000001</v>
      </c>
      <c r="I31" s="129">
        <f t="shared" si="19"/>
        <v>0.8046994447573832</v>
      </c>
      <c r="J31" s="127">
        <f t="shared" si="19"/>
        <v>0.65676795580110492</v>
      </c>
      <c r="K31" s="130">
        <f t="shared" si="20"/>
        <v>0.21728643182981175</v>
      </c>
      <c r="L31" s="130">
        <f t="shared" si="20"/>
        <v>0.42042451040027146</v>
      </c>
      <c r="M31" s="131">
        <v>7.2074883455200515E-3</v>
      </c>
      <c r="N31" s="131" t="e">
        <v>#N/A</v>
      </c>
      <c r="O31" s="165"/>
      <c r="P31" s="168"/>
      <c r="Q31" s="171"/>
      <c r="R31" s="171"/>
      <c r="S31" s="132"/>
    </row>
    <row r="32" spans="1:19">
      <c r="A32" s="162" t="s">
        <v>822</v>
      </c>
      <c r="B32" s="125">
        <v>0.2</v>
      </c>
      <c r="C32" s="125">
        <v>0.2</v>
      </c>
      <c r="D32" s="125">
        <v>0.06</v>
      </c>
      <c r="E32" s="127">
        <v>1</v>
      </c>
      <c r="F32" s="127">
        <v>0.69799999999999995</v>
      </c>
      <c r="G32" s="127">
        <v>0.36159999999999998</v>
      </c>
      <c r="H32" s="128">
        <f>0.5015+0.0697</f>
        <v>0.57119999999999993</v>
      </c>
      <c r="I32" s="129">
        <f t="shared" si="19"/>
        <v>0.73443008225616924</v>
      </c>
      <c r="J32" s="127">
        <f t="shared" si="19"/>
        <v>0.54995272612669399</v>
      </c>
      <c r="K32" s="130">
        <f t="shared" si="20"/>
        <v>0.30866047883697262</v>
      </c>
      <c r="L32" s="130">
        <f t="shared" si="20"/>
        <v>0.59792295694666797</v>
      </c>
      <c r="M32" s="131">
        <v>0.99997238261040333</v>
      </c>
      <c r="N32" s="131">
        <v>2.8488471276862048E-3</v>
      </c>
      <c r="O32" s="165"/>
      <c r="P32" s="168"/>
      <c r="Q32" s="171"/>
      <c r="R32" s="171"/>
      <c r="S32" s="132"/>
    </row>
    <row r="33" spans="1:19">
      <c r="A33" s="162"/>
      <c r="B33" s="125">
        <v>0.2</v>
      </c>
      <c r="C33" s="125">
        <v>0.2</v>
      </c>
      <c r="D33" s="125">
        <v>0.08</v>
      </c>
      <c r="E33" s="127">
        <v>1</v>
      </c>
      <c r="F33" s="127"/>
      <c r="G33" s="127"/>
      <c r="H33" s="128"/>
      <c r="I33" s="125"/>
      <c r="J33" s="125"/>
      <c r="K33" s="125"/>
      <c r="L33" s="127"/>
      <c r="M33" s="131">
        <v>72416.140498010369</v>
      </c>
      <c r="N33" s="131">
        <v>2</v>
      </c>
      <c r="O33" s="165"/>
      <c r="P33" s="168"/>
      <c r="Q33" s="171"/>
      <c r="R33" s="171"/>
      <c r="S33" s="132"/>
    </row>
    <row r="34" spans="1:19">
      <c r="A34" s="163"/>
      <c r="B34" s="133"/>
      <c r="C34" s="133"/>
      <c r="D34" s="133"/>
      <c r="E34" s="134"/>
      <c r="F34" s="134"/>
      <c r="G34" s="134"/>
      <c r="H34" s="134"/>
      <c r="I34" s="134"/>
      <c r="J34" s="134"/>
      <c r="K34" s="135"/>
      <c r="L34" s="135"/>
      <c r="M34" s="131">
        <v>0.58772432403275998</v>
      </c>
      <c r="N34" s="131">
        <v>1.6231859913851877E-5</v>
      </c>
      <c r="O34" s="166"/>
      <c r="P34" s="169"/>
      <c r="Q34" s="172"/>
      <c r="R34" s="172"/>
      <c r="S34" s="136"/>
    </row>
    <row r="35" spans="1:19" s="38" customFormat="1">
      <c r="A35" s="150" t="s">
        <v>907</v>
      </c>
      <c r="B35" s="151"/>
      <c r="C35" s="151"/>
      <c r="D35" s="151"/>
      <c r="E35" s="152"/>
      <c r="F35" s="152"/>
      <c r="G35" s="152"/>
      <c r="H35" s="152"/>
      <c r="I35" s="152"/>
      <c r="J35" s="152"/>
      <c r="K35" s="153"/>
      <c r="L35" s="153"/>
      <c r="M35" s="154">
        <f>M30*2*0.5015/(0.5015+0.0697)</f>
        <v>3.4057625880755662</v>
      </c>
      <c r="N35" s="153"/>
      <c r="O35" s="155">
        <f>O30*2*0.25/(0.24+0.25)</f>
        <v>9.6461087453827282E-3</v>
      </c>
      <c r="P35" s="156">
        <f>O30*100/M30</f>
        <v>0.48738997615780011</v>
      </c>
      <c r="Q35" s="157">
        <f>-1.99*273*LN(M35)/1000</f>
        <v>-0.66576047614585376</v>
      </c>
      <c r="R35" s="157">
        <f>ABS(1.99*273*O35/M35/1000)</f>
        <v>1.5386984155772285E-3</v>
      </c>
      <c r="S35" s="158"/>
    </row>
    <row r="36" spans="1:19">
      <c r="A36" s="147" t="s">
        <v>908</v>
      </c>
      <c r="B36" s="133"/>
      <c r="C36" s="133"/>
      <c r="D36" s="133"/>
      <c r="E36" s="134"/>
      <c r="F36" s="134"/>
      <c r="G36" s="134"/>
      <c r="H36" s="134"/>
      <c r="I36" s="134"/>
      <c r="J36" s="134"/>
      <c r="K36" s="135"/>
      <c r="L36" s="135"/>
      <c r="M36" s="131">
        <f>M30*2*0.0697/(0.5015+0.0697)</f>
        <v>0.47334327495287537</v>
      </c>
      <c r="N36" s="135"/>
      <c r="O36" s="148">
        <f>O30*2*0.24/(0.24+0.25)</f>
        <v>9.2602643955674198E-3</v>
      </c>
      <c r="P36" s="149">
        <f>O30*100/M30</f>
        <v>0.48738997615780011</v>
      </c>
      <c r="Q36" s="126">
        <f>-1.99*273*LN(M36)/1000</f>
        <v>0.40633032901443072</v>
      </c>
      <c r="R36" s="126">
        <f>ABS(1.99*273*O36/M36/1000)</f>
        <v>1.0628277836377343E-2</v>
      </c>
      <c r="S36" s="132"/>
    </row>
    <row r="37" spans="1:19" s="19" customFormat="1">
      <c r="A37" s="182" t="s">
        <v>724</v>
      </c>
      <c r="B37" s="30">
        <v>0.2</v>
      </c>
      <c r="C37" s="30">
        <v>0.2</v>
      </c>
      <c r="D37" s="18">
        <v>0.04</v>
      </c>
      <c r="E37" s="31">
        <v>1</v>
      </c>
      <c r="F37" s="31">
        <v>0.69</v>
      </c>
      <c r="G37" s="31">
        <v>0.36</v>
      </c>
      <c r="H37" s="32">
        <v>0.56999999999999995</v>
      </c>
      <c r="I37" s="32">
        <f t="shared" ref="I37:J39" si="21">E37/(E37+G37)</f>
        <v>0.73529411764705888</v>
      </c>
      <c r="J37" s="31">
        <f t="shared" si="21"/>
        <v>0.54761904761904767</v>
      </c>
      <c r="K37" s="33">
        <f t="shared" ref="K37:L39" si="22">-LN(I37)</f>
        <v>0.30748469974796055</v>
      </c>
      <c r="L37" s="33">
        <f t="shared" si="22"/>
        <v>0.60217540235421851</v>
      </c>
      <c r="M37" s="34" cm="1">
        <f t="array" ref="M37:N41">LINEST(L37:L39,K37:K39,FALSE,TRUE)</f>
        <v>1.9138412916028096</v>
      </c>
      <c r="N37" s="34">
        <v>0</v>
      </c>
      <c r="O37" s="176">
        <f t="shared" ref="O37" si="23">TINV(0.32,N40)*M38</f>
        <v>5.1035312380546878E-2</v>
      </c>
      <c r="P37" s="179">
        <f>O37*100/M37</f>
        <v>2.6666428718238007</v>
      </c>
      <c r="Q37" s="173">
        <f>-1.99*273*LN(M37)/1000</f>
        <v>-0.35264327716568322</v>
      </c>
      <c r="R37" s="173">
        <f>ABS(1.99*273*O37/M37/1000)</f>
        <v>1.448707072975716E-2</v>
      </c>
      <c r="S37" s="77"/>
    </row>
    <row r="38" spans="1:19">
      <c r="A38" s="183"/>
      <c r="B38" s="22">
        <v>0.2</v>
      </c>
      <c r="C38" s="22">
        <v>0.2</v>
      </c>
      <c r="D38" s="15">
        <v>0.08</v>
      </c>
      <c r="E38" s="23">
        <v>1</v>
      </c>
      <c r="F38" s="23">
        <v>0.6</v>
      </c>
      <c r="G38" s="23">
        <v>0.71</v>
      </c>
      <c r="H38" s="27">
        <v>0.99</v>
      </c>
      <c r="I38" s="24">
        <f t="shared" si="21"/>
        <v>0.58479532163742687</v>
      </c>
      <c r="J38" s="23">
        <f t="shared" si="21"/>
        <v>0.37735849056603776</v>
      </c>
      <c r="K38" s="25">
        <f t="shared" si="22"/>
        <v>0.53649337051456858</v>
      </c>
      <c r="L38" s="25">
        <f t="shared" si="22"/>
        <v>0.97455963999813078</v>
      </c>
      <c r="M38" s="26">
        <v>3.8911367764772789E-2</v>
      </c>
      <c r="N38" s="26" t="e">
        <v>#N/A</v>
      </c>
      <c r="O38" s="177"/>
      <c r="P38" s="180"/>
      <c r="Q38" s="174"/>
      <c r="R38" s="174"/>
      <c r="S38" s="55"/>
    </row>
    <row r="39" spans="1:19">
      <c r="A39" s="183"/>
      <c r="B39" s="22">
        <v>0.2</v>
      </c>
      <c r="C39" s="22">
        <v>0.2</v>
      </c>
      <c r="D39" s="22">
        <v>0.12</v>
      </c>
      <c r="E39" s="23">
        <v>1</v>
      </c>
      <c r="F39" s="23">
        <v>0.4</v>
      </c>
      <c r="G39" s="23">
        <v>1.46</v>
      </c>
      <c r="H39" s="27">
        <v>1.9</v>
      </c>
      <c r="I39" s="24">
        <f t="shared" si="21"/>
        <v>0.4065040650406504</v>
      </c>
      <c r="J39" s="23">
        <f t="shared" si="21"/>
        <v>0.17391304347826089</v>
      </c>
      <c r="K39" s="25">
        <f t="shared" si="22"/>
        <v>0.90016134994427144</v>
      </c>
      <c r="L39" s="25">
        <f t="shared" si="22"/>
        <v>1.7491998548092589</v>
      </c>
      <c r="M39" s="26">
        <v>0.99917393875684268</v>
      </c>
      <c r="N39" s="26">
        <v>4.2494748847696988E-2</v>
      </c>
      <c r="O39" s="177"/>
      <c r="P39" s="180"/>
      <c r="Q39" s="174"/>
      <c r="R39" s="174"/>
      <c r="S39" s="55"/>
    </row>
    <row r="40" spans="1:19">
      <c r="A40" s="183"/>
      <c r="B40" s="28"/>
      <c r="C40" s="28"/>
      <c r="D40" s="28"/>
      <c r="E40" s="28"/>
      <c r="F40" s="28"/>
      <c r="G40" s="28"/>
      <c r="H40" s="28"/>
      <c r="I40" s="28"/>
      <c r="J40" s="28"/>
      <c r="K40" s="28"/>
      <c r="L40" s="28"/>
      <c r="M40" s="26">
        <v>2419.127993313813</v>
      </c>
      <c r="N40" s="26">
        <v>2</v>
      </c>
      <c r="O40" s="177"/>
      <c r="P40" s="180"/>
      <c r="Q40" s="174"/>
      <c r="R40" s="174"/>
      <c r="S40" s="55"/>
    </row>
    <row r="41" spans="1:19">
      <c r="A41" s="184"/>
      <c r="B41" s="29"/>
      <c r="C41" s="29"/>
      <c r="D41" s="29"/>
      <c r="E41" s="29"/>
      <c r="F41" s="29"/>
      <c r="G41" s="29"/>
      <c r="H41" s="29"/>
      <c r="I41" s="29"/>
      <c r="J41" s="29"/>
      <c r="K41" s="29"/>
      <c r="L41" s="29"/>
      <c r="M41" s="26">
        <v>4.3684702318192263</v>
      </c>
      <c r="N41" s="26">
        <v>3.6116073592576893E-3</v>
      </c>
      <c r="O41" s="177"/>
      <c r="P41" s="181"/>
      <c r="Q41" s="175"/>
      <c r="R41" s="175"/>
      <c r="S41" s="55"/>
    </row>
    <row r="42" spans="1:19" s="19" customFormat="1">
      <c r="A42" s="182" t="s">
        <v>725</v>
      </c>
      <c r="B42" s="30">
        <v>0.2</v>
      </c>
      <c r="C42" s="30">
        <v>0.2</v>
      </c>
      <c r="D42" s="18">
        <v>0.04</v>
      </c>
      <c r="E42" s="31">
        <v>1</v>
      </c>
      <c r="F42" s="31">
        <v>0.71</v>
      </c>
      <c r="G42" s="31">
        <v>0.35</v>
      </c>
      <c r="H42" s="32">
        <v>0.41</v>
      </c>
      <c r="I42" s="32">
        <f t="shared" ref="I42:J44" si="24">E42/(E42+G42)</f>
        <v>0.7407407407407407</v>
      </c>
      <c r="J42" s="31">
        <f t="shared" si="24"/>
        <v>0.63392857142857151</v>
      </c>
      <c r="K42" s="33">
        <f>-LN(I42)</f>
        <v>0.30010459245033816</v>
      </c>
      <c r="L42" s="33">
        <f t="shared" ref="L42:L44" si="25">-LN(J42)</f>
        <v>0.45581899425377898</v>
      </c>
      <c r="M42" s="34" cm="1">
        <f t="array" ref="M42:N46">LINEST(L42:L44,K42:K44,FALSE,TRUE)</f>
        <v>1.9132248009016315</v>
      </c>
      <c r="N42" s="34">
        <v>0</v>
      </c>
      <c r="O42" s="176">
        <f t="shared" ref="O42" si="26">TINV(0.32,N45)*M43</f>
        <v>0.1165609029447429</v>
      </c>
      <c r="P42" s="179">
        <f>O42*100/M42</f>
        <v>6.0923788406784247</v>
      </c>
      <c r="Q42" s="173">
        <f>-1.99*273*LN(M42)/1000</f>
        <v>-0.35246824966522694</v>
      </c>
      <c r="R42" s="173">
        <f>ABS(1.99*273*O42/M42/1000)</f>
        <v>3.309806652775367E-2</v>
      </c>
      <c r="S42" s="77"/>
    </row>
    <row r="43" spans="1:19">
      <c r="A43" s="183"/>
      <c r="B43" s="22">
        <v>0.2</v>
      </c>
      <c r="C43" s="22">
        <v>0.2</v>
      </c>
      <c r="D43" s="15">
        <v>0.08</v>
      </c>
      <c r="E43" s="23">
        <v>1</v>
      </c>
      <c r="F43" s="23">
        <v>0.52</v>
      </c>
      <c r="G43" s="23">
        <v>0.79</v>
      </c>
      <c r="H43" s="27">
        <v>0.93</v>
      </c>
      <c r="I43" s="24">
        <f t="shared" si="24"/>
        <v>0.55865921787709494</v>
      </c>
      <c r="J43" s="23">
        <f t="shared" si="24"/>
        <v>0.35862068965517241</v>
      </c>
      <c r="K43" s="25">
        <f>-LN(I43)</f>
        <v>0.58221561985266368</v>
      </c>
      <c r="L43" s="25">
        <f t="shared" si="25"/>
        <v>1.0254900238391471</v>
      </c>
      <c r="M43" s="26">
        <v>8.8870704418489876E-2</v>
      </c>
      <c r="N43" s="26" t="e">
        <v>#N/A</v>
      </c>
      <c r="O43" s="177"/>
      <c r="P43" s="180"/>
      <c r="Q43" s="174"/>
      <c r="R43" s="174"/>
      <c r="S43" s="55"/>
    </row>
    <row r="44" spans="1:19">
      <c r="A44" s="183"/>
      <c r="B44" s="22">
        <v>0.2</v>
      </c>
      <c r="C44" s="22">
        <v>0.2</v>
      </c>
      <c r="D44" s="22">
        <v>0.12</v>
      </c>
      <c r="E44" s="23">
        <v>1</v>
      </c>
      <c r="F44" s="23">
        <v>0.28999999999999998</v>
      </c>
      <c r="G44" s="23">
        <v>2.15</v>
      </c>
      <c r="H44" s="27">
        <v>2.52</v>
      </c>
      <c r="I44" s="24">
        <f t="shared" si="24"/>
        <v>0.31746031746031744</v>
      </c>
      <c r="J44" s="23">
        <f t="shared" si="24"/>
        <v>0.10320284697508895</v>
      </c>
      <c r="K44" s="25">
        <f>-LN(I44)</f>
        <v>1.1474024528375417</v>
      </c>
      <c r="L44" s="25">
        <f t="shared" si="25"/>
        <v>2.2710588393472717</v>
      </c>
      <c r="M44" s="26">
        <v>0.99570319999639145</v>
      </c>
      <c r="N44" s="26">
        <v>0.11741599967302269</v>
      </c>
      <c r="O44" s="177"/>
      <c r="P44" s="180"/>
      <c r="Q44" s="174"/>
      <c r="R44" s="174"/>
      <c r="S44" s="55"/>
    </row>
    <row r="45" spans="1:19">
      <c r="A45" s="183"/>
      <c r="B45" s="28"/>
      <c r="C45" s="28"/>
      <c r="D45" s="28"/>
      <c r="E45" s="28"/>
      <c r="F45" s="28"/>
      <c r="G45" s="28"/>
      <c r="H45" s="28"/>
      <c r="I45" s="28"/>
      <c r="J45" s="28"/>
      <c r="K45" s="28"/>
      <c r="L45" s="28"/>
      <c r="M45" s="26">
        <v>463.46266950296712</v>
      </c>
      <c r="N45" s="26">
        <v>2</v>
      </c>
      <c r="O45" s="177"/>
      <c r="P45" s="180"/>
      <c r="Q45" s="174"/>
      <c r="R45" s="174"/>
      <c r="S45" s="55"/>
    </row>
    <row r="46" spans="1:19">
      <c r="A46" s="184"/>
      <c r="B46" s="29"/>
      <c r="C46" s="29"/>
      <c r="D46" s="29"/>
      <c r="E46" s="29"/>
      <c r="F46" s="29"/>
      <c r="G46" s="29"/>
      <c r="H46" s="29"/>
      <c r="I46" s="29"/>
      <c r="J46" s="29"/>
      <c r="K46" s="29"/>
      <c r="L46" s="29"/>
      <c r="M46" s="26">
        <v>6.3895359623350885</v>
      </c>
      <c r="N46" s="26">
        <v>2.757303395843053E-2</v>
      </c>
      <c r="O46" s="177"/>
      <c r="P46" s="181"/>
      <c r="Q46" s="175"/>
      <c r="R46" s="175"/>
      <c r="S46" s="55"/>
    </row>
    <row r="47" spans="1:19" s="19" customFormat="1">
      <c r="A47" s="182" t="s">
        <v>726</v>
      </c>
      <c r="B47" s="30">
        <v>0.2</v>
      </c>
      <c r="C47" s="30">
        <v>0.2</v>
      </c>
      <c r="D47" s="18">
        <v>0.02</v>
      </c>
      <c r="E47" s="31">
        <v>1</v>
      </c>
      <c r="F47" s="31">
        <v>1</v>
      </c>
      <c r="G47" s="31">
        <v>5.6000000000000001E-2</v>
      </c>
      <c r="H47" s="32">
        <v>0.11099999999999999</v>
      </c>
      <c r="I47" s="32">
        <f t="shared" ref="I47:J47" si="27">E47/(E47+G47)</f>
        <v>0.94696969696969691</v>
      </c>
      <c r="J47" s="31">
        <f t="shared" si="27"/>
        <v>0.90009000900090008</v>
      </c>
      <c r="K47" s="33">
        <f t="shared" ref="K47:L47" si="28">-LN(I47)</f>
        <v>5.4488185284069797E-2</v>
      </c>
      <c r="L47" s="33">
        <f t="shared" si="28"/>
        <v>0.10526051065749295</v>
      </c>
      <c r="M47" s="34" cm="1">
        <f t="array" ref="M47:N51">LINEST(L47:L51,K47:K51,FALSE,TRUE)</f>
        <v>1.7049044283949548</v>
      </c>
      <c r="N47" s="34">
        <v>0</v>
      </c>
      <c r="O47" s="176">
        <f t="shared" ref="O47" si="29">TINV(0.32,N50)*M48</f>
        <v>1.7195845719412572E-2</v>
      </c>
      <c r="P47" s="179">
        <f>O47*100/M47</f>
        <v>1.0086105375185885</v>
      </c>
      <c r="Q47" s="173">
        <f>-1.99*273*LN(M47)/1000</f>
        <v>-0.28983946454731985</v>
      </c>
      <c r="R47" s="173">
        <f>ABS(1.99*273*O47/M47/1000)</f>
        <v>5.4794784671772356E-3</v>
      </c>
      <c r="S47" s="77"/>
    </row>
    <row r="48" spans="1:19">
      <c r="A48" s="183"/>
      <c r="B48" s="22">
        <v>0.2</v>
      </c>
      <c r="C48" s="22">
        <v>0.2</v>
      </c>
      <c r="D48" s="15">
        <v>0.04</v>
      </c>
      <c r="E48" s="23">
        <v>1</v>
      </c>
      <c r="F48" s="23">
        <v>0.97</v>
      </c>
      <c r="G48" s="23">
        <v>0.11</v>
      </c>
      <c r="H48" s="27">
        <v>0.187</v>
      </c>
      <c r="I48" s="24">
        <f t="shared" ref="I48:J51" si="30">E48/(E48+G48)</f>
        <v>0.9009009009009008</v>
      </c>
      <c r="J48" s="23">
        <f t="shared" si="30"/>
        <v>0.83837510803802939</v>
      </c>
      <c r="K48" s="25">
        <f t="shared" ref="K48:L51" si="31">-LN(I48)</f>
        <v>0.10436001532424288</v>
      </c>
      <c r="L48" s="25">
        <f t="shared" si="31"/>
        <v>0.17628965569624805</v>
      </c>
      <c r="M48" s="26">
        <v>1.5158583112625544E-2</v>
      </c>
      <c r="N48" s="26" t="e">
        <v>#N/A</v>
      </c>
      <c r="O48" s="177"/>
      <c r="P48" s="180"/>
      <c r="Q48" s="174"/>
      <c r="R48" s="174"/>
      <c r="S48" s="55"/>
    </row>
    <row r="49" spans="1:19">
      <c r="A49" s="183"/>
      <c r="B49" s="22">
        <v>0.2</v>
      </c>
      <c r="C49" s="22">
        <v>0.2</v>
      </c>
      <c r="D49" s="22">
        <v>0.06</v>
      </c>
      <c r="E49" s="23">
        <v>1</v>
      </c>
      <c r="F49" s="23">
        <v>0.86</v>
      </c>
      <c r="G49" s="23">
        <v>0.34100000000000003</v>
      </c>
      <c r="H49" s="27">
        <v>0.54699999999999993</v>
      </c>
      <c r="I49" s="24">
        <f t="shared" si="30"/>
        <v>0.74571215510812827</v>
      </c>
      <c r="J49" s="23">
        <f t="shared" si="30"/>
        <v>0.61122956645344706</v>
      </c>
      <c r="K49" s="25">
        <f t="shared" si="31"/>
        <v>0.29341560429954144</v>
      </c>
      <c r="L49" s="25">
        <f t="shared" si="31"/>
        <v>0.49228266786683561</v>
      </c>
      <c r="M49" s="26">
        <v>0.99968388884238035</v>
      </c>
      <c r="N49" s="26">
        <v>1.4565038700076641E-2</v>
      </c>
      <c r="O49" s="177"/>
      <c r="P49" s="180"/>
      <c r="Q49" s="174"/>
      <c r="R49" s="174"/>
      <c r="S49" s="55"/>
    </row>
    <row r="50" spans="1:19">
      <c r="A50" s="183"/>
      <c r="B50" s="22">
        <v>0.2</v>
      </c>
      <c r="C50" s="22">
        <v>0.2</v>
      </c>
      <c r="D50" s="15">
        <v>0.08</v>
      </c>
      <c r="E50" s="23">
        <v>1</v>
      </c>
      <c r="F50" s="27">
        <v>0.79</v>
      </c>
      <c r="G50" s="27">
        <v>0.56799999999999995</v>
      </c>
      <c r="H50" s="27">
        <v>0.87599999999999989</v>
      </c>
      <c r="I50" s="24">
        <f t="shared" si="30"/>
        <v>0.63775510204081631</v>
      </c>
      <c r="J50" s="23">
        <f t="shared" si="30"/>
        <v>0.47418967587034816</v>
      </c>
      <c r="K50" s="25">
        <f t="shared" si="31"/>
        <v>0.44980092192821614</v>
      </c>
      <c r="L50" s="25">
        <f t="shared" si="31"/>
        <v>0.74614787726572074</v>
      </c>
      <c r="M50" s="26">
        <v>12649.776697160889</v>
      </c>
      <c r="N50" s="26">
        <v>4</v>
      </c>
      <c r="O50" s="177"/>
      <c r="P50" s="180"/>
      <c r="Q50" s="174"/>
      <c r="R50" s="174"/>
      <c r="S50" s="55"/>
    </row>
    <row r="51" spans="1:19">
      <c r="A51" s="183"/>
      <c r="B51" s="22">
        <v>0.2</v>
      </c>
      <c r="C51" s="22">
        <v>0.2</v>
      </c>
      <c r="D51" s="15">
        <v>0.1</v>
      </c>
      <c r="E51" s="23">
        <v>1</v>
      </c>
      <c r="F51" s="27">
        <v>0.628</v>
      </c>
      <c r="G51" s="27">
        <v>1.1990000000000001</v>
      </c>
      <c r="H51" s="27">
        <v>1.8130000000000002</v>
      </c>
      <c r="I51" s="24">
        <f t="shared" si="30"/>
        <v>0.45475216007276037</v>
      </c>
      <c r="J51" s="23">
        <f t="shared" si="30"/>
        <v>0.25727160999590332</v>
      </c>
      <c r="K51" s="25">
        <f t="shared" si="31"/>
        <v>0.78800271157262403</v>
      </c>
      <c r="L51" s="25">
        <f t="shared" si="31"/>
        <v>1.3576229039247614</v>
      </c>
      <c r="M51" s="26">
        <v>2.6835280854913712</v>
      </c>
      <c r="N51" s="26">
        <v>8.48561409338921E-4</v>
      </c>
      <c r="O51" s="192"/>
      <c r="P51" s="180"/>
      <c r="Q51" s="174"/>
      <c r="R51" s="174"/>
      <c r="S51" s="55"/>
    </row>
    <row r="52" spans="1:19" s="38" customFormat="1">
      <c r="A52" s="92" t="s">
        <v>727</v>
      </c>
      <c r="B52" s="35"/>
      <c r="C52" s="35"/>
      <c r="D52" s="35"/>
      <c r="E52" s="36"/>
      <c r="F52" s="36"/>
      <c r="G52" s="36"/>
      <c r="H52" s="36"/>
      <c r="I52" s="36"/>
      <c r="J52" s="36"/>
      <c r="K52" s="37"/>
      <c r="L52" s="37"/>
      <c r="M52" s="52">
        <f>M47*2*1.423/(0.39+1.423)</f>
        <v>2.6763143978003536</v>
      </c>
      <c r="N52" s="54"/>
      <c r="O52" s="39">
        <f>O47*2*1.423/(0.39+1.423)</f>
        <v>2.6993589033341519E-2</v>
      </c>
      <c r="P52" s="40">
        <f>O47*100/M47</f>
        <v>1.0086105375185885</v>
      </c>
      <c r="Q52" s="41">
        <f>-1.99*273*LN(M52)/1000</f>
        <v>-0.53481705743760743</v>
      </c>
      <c r="R52" s="41">
        <f>ABS(1.99*273*O52/M52/1000)</f>
        <v>5.4794784671772347E-3</v>
      </c>
      <c r="S52" s="75"/>
    </row>
    <row r="53" spans="1:19">
      <c r="A53" s="91" t="s">
        <v>728</v>
      </c>
      <c r="B53" s="42"/>
      <c r="C53" s="42"/>
      <c r="D53" s="42"/>
      <c r="E53" s="43"/>
      <c r="F53" s="43"/>
      <c r="G53" s="43"/>
      <c r="H53" s="43"/>
      <c r="I53" s="43"/>
      <c r="J53" s="43"/>
      <c r="K53" s="44"/>
      <c r="L53" s="44"/>
      <c r="M53" s="26">
        <f>M47*2*0.39/(0.39+1.423)</f>
        <v>0.73349445898955579</v>
      </c>
      <c r="N53" s="53"/>
      <c r="O53" s="13">
        <f>O47*2*0.39/(0.39+1.423)</f>
        <v>7.3981024054836217E-3</v>
      </c>
      <c r="P53" s="14">
        <f>O47*100/M47</f>
        <v>1.0086105375185885</v>
      </c>
      <c r="Q53" s="15">
        <f>-1.99*273*LN(M53)/1000</f>
        <v>0.16837851546293842</v>
      </c>
      <c r="R53" s="15">
        <f>ABS(1.99*273*O53/M53/1000)</f>
        <v>5.4794784671772356E-3</v>
      </c>
      <c r="S53" s="55"/>
    </row>
    <row r="54" spans="1:19" s="19" customFormat="1">
      <c r="A54" s="182" t="s">
        <v>729</v>
      </c>
      <c r="B54" s="30">
        <v>0.2</v>
      </c>
      <c r="C54" s="30">
        <v>0.2</v>
      </c>
      <c r="D54" s="18">
        <v>0.04</v>
      </c>
      <c r="E54" s="31">
        <v>1</v>
      </c>
      <c r="F54" s="31">
        <v>0.87</v>
      </c>
      <c r="G54" s="31">
        <v>0.36</v>
      </c>
      <c r="H54" s="32">
        <v>0.52</v>
      </c>
      <c r="I54" s="32">
        <f t="shared" ref="I54:J56" si="32">E54/(E54+G54)</f>
        <v>0.73529411764705888</v>
      </c>
      <c r="J54" s="31">
        <f t="shared" si="32"/>
        <v>0.62589928057553956</v>
      </c>
      <c r="K54" s="33">
        <f t="shared" ref="K54:L56" si="33">-LN(I54)</f>
        <v>0.30748469974796055</v>
      </c>
      <c r="L54" s="33">
        <f t="shared" si="33"/>
        <v>0.46856581447610807</v>
      </c>
      <c r="M54" s="34" cm="1">
        <f t="array" ref="M54:N58">LINEST(L54:L56,K54:K56,FALSE,TRUE)</f>
        <v>1.6411295004299833</v>
      </c>
      <c r="N54" s="34">
        <v>0</v>
      </c>
      <c r="O54" s="176">
        <f>TINV(0.32,N57)*M55</f>
        <v>3.6233830421718148E-2</v>
      </c>
      <c r="P54" s="179">
        <f>O54*100/M54</f>
        <v>2.207859307399247</v>
      </c>
      <c r="Q54" s="173">
        <f>-1.99*273*LN(M54)/1000</f>
        <v>-0.26912765930728988</v>
      </c>
      <c r="R54" s="173">
        <f>ABS(1.99*273*O54/M54/1000)</f>
        <v>1.1994637259307888E-2</v>
      </c>
      <c r="S54" s="77"/>
    </row>
    <row r="55" spans="1:19">
      <c r="A55" s="183"/>
      <c r="B55" s="22">
        <v>0.2</v>
      </c>
      <c r="C55" s="22">
        <v>0.2</v>
      </c>
      <c r="D55" s="15">
        <v>0.08</v>
      </c>
      <c r="E55" s="23">
        <v>1</v>
      </c>
      <c r="F55" s="23">
        <v>0.67</v>
      </c>
      <c r="G55" s="23">
        <v>0.85</v>
      </c>
      <c r="H55" s="27">
        <v>1.2</v>
      </c>
      <c r="I55" s="24">
        <f t="shared" si="32"/>
        <v>0.54054054054054046</v>
      </c>
      <c r="J55" s="23">
        <f t="shared" si="32"/>
        <v>0.35828877005347592</v>
      </c>
      <c r="K55" s="25">
        <f t="shared" si="33"/>
        <v>0.6151856390902336</v>
      </c>
      <c r="L55" s="25">
        <f t="shared" si="33"/>
        <v>1.0264159974636207</v>
      </c>
      <c r="M55" s="26">
        <v>2.7626124643910309E-2</v>
      </c>
      <c r="N55" s="26" t="e">
        <v>#N/A</v>
      </c>
      <c r="O55" s="177"/>
      <c r="P55" s="180"/>
      <c r="Q55" s="174"/>
      <c r="R55" s="174"/>
      <c r="S55" s="55"/>
    </row>
    <row r="56" spans="1:19">
      <c r="A56" s="183"/>
      <c r="B56" s="22">
        <v>0.2</v>
      </c>
      <c r="C56" s="22">
        <v>0.2</v>
      </c>
      <c r="D56" s="22">
        <v>0.12</v>
      </c>
      <c r="E56" s="23">
        <v>1</v>
      </c>
      <c r="F56" s="23">
        <v>0.62</v>
      </c>
      <c r="G56" s="23">
        <v>1.1200000000000001</v>
      </c>
      <c r="H56" s="27">
        <v>1.51</v>
      </c>
      <c r="I56" s="24">
        <f t="shared" si="32"/>
        <v>0.47169811320754712</v>
      </c>
      <c r="J56" s="23">
        <f t="shared" si="32"/>
        <v>0.29107981220657281</v>
      </c>
      <c r="K56" s="25">
        <f t="shared" si="33"/>
        <v>0.75141608868392118</v>
      </c>
      <c r="L56" s="25">
        <f t="shared" si="33"/>
        <v>1.2341577806643333</v>
      </c>
      <c r="M56" s="26">
        <v>0.99943358054419584</v>
      </c>
      <c r="N56" s="26">
        <v>2.8141060688974335E-2</v>
      </c>
      <c r="O56" s="177"/>
      <c r="P56" s="180"/>
      <c r="Q56" s="174"/>
      <c r="R56" s="174"/>
      <c r="S56" s="55"/>
    </row>
    <row r="57" spans="1:19">
      <c r="A57" s="183"/>
      <c r="B57" s="28"/>
      <c r="C57" s="28"/>
      <c r="D57" s="28"/>
      <c r="E57" s="28"/>
      <c r="F57" s="28"/>
      <c r="G57" s="28"/>
      <c r="H57" s="28"/>
      <c r="I57" s="28"/>
      <c r="J57" s="28"/>
      <c r="K57" s="28"/>
      <c r="L57" s="28"/>
      <c r="M57" s="26">
        <v>3528.9521583442374</v>
      </c>
      <c r="N57" s="26">
        <v>2</v>
      </c>
      <c r="O57" s="177"/>
      <c r="P57" s="180"/>
      <c r="Q57" s="174"/>
      <c r="R57" s="174"/>
      <c r="S57" s="55"/>
    </row>
    <row r="58" spans="1:19">
      <c r="A58" s="184"/>
      <c r="B58" s="29"/>
      <c r="C58" s="29"/>
      <c r="D58" s="29"/>
      <c r="E58" s="29"/>
      <c r="F58" s="29"/>
      <c r="G58" s="29"/>
      <c r="H58" s="29"/>
      <c r="I58" s="29"/>
      <c r="J58" s="29"/>
      <c r="K58" s="29"/>
      <c r="L58" s="29"/>
      <c r="M58" s="26">
        <v>2.7946453113258096</v>
      </c>
      <c r="N58" s="26">
        <v>1.5838385934010735E-3</v>
      </c>
      <c r="O58" s="178"/>
      <c r="P58" s="181"/>
      <c r="Q58" s="175"/>
      <c r="R58" s="175"/>
      <c r="S58" s="55"/>
    </row>
    <row r="59" spans="1:19" s="19" customFormat="1">
      <c r="A59" s="182" t="s">
        <v>730</v>
      </c>
      <c r="B59" s="30">
        <v>0.2</v>
      </c>
      <c r="C59" s="30">
        <v>0.2</v>
      </c>
      <c r="D59" s="18">
        <v>0.04</v>
      </c>
      <c r="E59" s="31">
        <v>1</v>
      </c>
      <c r="F59" s="31">
        <v>0.78</v>
      </c>
      <c r="G59" s="31">
        <v>0.39</v>
      </c>
      <c r="H59" s="32">
        <v>0.47</v>
      </c>
      <c r="I59" s="32">
        <f t="shared" ref="I59:J61" si="34">E59/(E59+G59)</f>
        <v>0.71942446043165464</v>
      </c>
      <c r="J59" s="31">
        <f t="shared" si="34"/>
        <v>0.624</v>
      </c>
      <c r="K59" s="33">
        <f t="shared" ref="K59:L61" si="35">-LN(I59)</f>
        <v>0.32930374714260041</v>
      </c>
      <c r="L59" s="33">
        <f t="shared" si="35"/>
        <v>0.47160491061270937</v>
      </c>
      <c r="M59" s="34" cm="1">
        <f t="array" ref="M59:N63">LINEST(L59:L61,K59:K61,FALSE,TRUE)</f>
        <v>1.2771192015444814</v>
      </c>
      <c r="N59" s="34">
        <v>0</v>
      </c>
      <c r="O59" s="176">
        <f>TINV(0.32,N62)*M60</f>
        <v>4.0681766930076385E-2</v>
      </c>
      <c r="P59" s="179">
        <f>O59*100/M59</f>
        <v>3.1854322510285629</v>
      </c>
      <c r="Q59" s="173">
        <f>-1.99*273*LN(M59)/1000</f>
        <v>-0.13288760016690671</v>
      </c>
      <c r="R59" s="173">
        <f>ABS(1.99*273*O59/M59/1000)</f>
        <v>1.7305497790162876E-2</v>
      </c>
      <c r="S59" s="77"/>
    </row>
    <row r="60" spans="1:19">
      <c r="A60" s="183"/>
      <c r="B60" s="22">
        <v>0.2</v>
      </c>
      <c r="C60" s="22">
        <v>0.2</v>
      </c>
      <c r="D60" s="15">
        <v>0.08</v>
      </c>
      <c r="E60" s="23">
        <v>1</v>
      </c>
      <c r="F60" s="23">
        <v>0.85</v>
      </c>
      <c r="G60" s="23">
        <v>1.07</v>
      </c>
      <c r="H60" s="27">
        <v>1.24</v>
      </c>
      <c r="I60" s="24">
        <f t="shared" si="34"/>
        <v>0.48309178743961345</v>
      </c>
      <c r="J60" s="23">
        <f t="shared" si="34"/>
        <v>0.40669856459330145</v>
      </c>
      <c r="K60" s="25">
        <f t="shared" si="35"/>
        <v>0.72754860727727788</v>
      </c>
      <c r="L60" s="25">
        <f t="shared" si="35"/>
        <v>0.89968299547449448</v>
      </c>
      <c r="M60" s="26">
        <v>3.1017409720810473E-2</v>
      </c>
      <c r="N60" s="26" t="e">
        <v>#N/A</v>
      </c>
      <c r="O60" s="177"/>
      <c r="P60" s="180"/>
      <c r="Q60" s="174"/>
      <c r="R60" s="174"/>
      <c r="S60" s="55"/>
    </row>
    <row r="61" spans="1:19">
      <c r="A61" s="183"/>
      <c r="B61" s="22">
        <v>0.2</v>
      </c>
      <c r="C61" s="22">
        <v>0.2</v>
      </c>
      <c r="D61" s="22">
        <v>0.12</v>
      </c>
      <c r="E61" s="23">
        <v>1</v>
      </c>
      <c r="F61" s="23">
        <v>0.64</v>
      </c>
      <c r="G61" s="23">
        <v>1.96</v>
      </c>
      <c r="H61" s="27">
        <v>1.93</v>
      </c>
      <c r="I61" s="24">
        <f t="shared" si="34"/>
        <v>0.33783783783783783</v>
      </c>
      <c r="J61" s="23">
        <f t="shared" si="34"/>
        <v>0.24902723735408563</v>
      </c>
      <c r="K61" s="25">
        <f t="shared" si="35"/>
        <v>1.085189268335969</v>
      </c>
      <c r="L61" s="25">
        <f t="shared" si="35"/>
        <v>1.3901930015355479</v>
      </c>
      <c r="M61" s="26">
        <v>0.99882167216426776</v>
      </c>
      <c r="N61" s="26">
        <v>4.1791901610396538E-2</v>
      </c>
      <c r="O61" s="177"/>
      <c r="P61" s="180"/>
      <c r="Q61" s="174"/>
      <c r="R61" s="174"/>
      <c r="S61" s="55"/>
    </row>
    <row r="62" spans="1:19">
      <c r="A62" s="183"/>
      <c r="B62" s="45"/>
      <c r="C62" s="45"/>
      <c r="D62" s="45"/>
      <c r="E62" s="46"/>
      <c r="F62" s="46"/>
      <c r="G62" s="46"/>
      <c r="H62" s="46"/>
      <c r="I62" s="46"/>
      <c r="J62" s="46"/>
      <c r="K62" s="47"/>
      <c r="L62" s="47"/>
      <c r="M62" s="26">
        <v>1695.3205073758788</v>
      </c>
      <c r="N62" s="26">
        <v>2</v>
      </c>
      <c r="O62" s="177"/>
      <c r="P62" s="180"/>
      <c r="Q62" s="174"/>
      <c r="R62" s="174"/>
      <c r="S62" s="55"/>
    </row>
    <row r="63" spans="1:19">
      <c r="A63" s="183"/>
      <c r="B63" s="45"/>
      <c r="C63" s="45"/>
      <c r="D63" s="45"/>
      <c r="E63" s="46"/>
      <c r="F63" s="46"/>
      <c r="G63" s="46"/>
      <c r="H63" s="46"/>
      <c r="I63" s="46"/>
      <c r="J63" s="46"/>
      <c r="K63" s="47"/>
      <c r="L63" s="47"/>
      <c r="M63" s="26">
        <v>2.9609841394979708</v>
      </c>
      <c r="N63" s="26">
        <v>3.4931260804261298E-3</v>
      </c>
      <c r="O63" s="177"/>
      <c r="P63" s="180"/>
      <c r="Q63" s="174"/>
      <c r="R63" s="174"/>
      <c r="S63" s="55"/>
    </row>
    <row r="64" spans="1:19" s="38" customFormat="1">
      <c r="A64" s="92" t="s">
        <v>731</v>
      </c>
      <c r="B64" s="35"/>
      <c r="C64" s="35"/>
      <c r="D64" s="35"/>
      <c r="E64" s="36"/>
      <c r="F64" s="36"/>
      <c r="G64" s="36"/>
      <c r="H64" s="36"/>
      <c r="I64" s="36"/>
      <c r="J64" s="36"/>
      <c r="K64" s="37"/>
      <c r="L64" s="37"/>
      <c r="M64" s="52">
        <f>M59*2*1.45/(1.45+0.48)</f>
        <v>1.9189874012844539</v>
      </c>
      <c r="N64" s="54"/>
      <c r="O64" s="39">
        <f>O59*2*1.45/(1.45+0.48)</f>
        <v>6.1128043573689901E-2</v>
      </c>
      <c r="P64" s="40">
        <f>O59*100/M59</f>
        <v>3.1854322510285629</v>
      </c>
      <c r="Q64" s="41">
        <f>-1.99*273*LN(M64)/1000</f>
        <v>-0.35410211026817645</v>
      </c>
      <c r="R64" s="41">
        <f>ABS(1.99*273*O64/M64/1000)</f>
        <v>1.7305497790162872E-2</v>
      </c>
      <c r="S64" s="75"/>
    </row>
    <row r="65" spans="1:19">
      <c r="A65" s="86" t="s">
        <v>732</v>
      </c>
      <c r="B65" s="42"/>
      <c r="C65" s="42"/>
      <c r="D65" s="42"/>
      <c r="E65" s="43"/>
      <c r="F65" s="43"/>
      <c r="G65" s="43"/>
      <c r="H65" s="43"/>
      <c r="I65" s="43"/>
      <c r="J65" s="43"/>
      <c r="K65" s="44"/>
      <c r="L65" s="44"/>
      <c r="M65" s="26">
        <f>M59*2*0.48/(1.45+0.48)</f>
        <v>0.635251001804509</v>
      </c>
      <c r="N65" s="53"/>
      <c r="O65" s="13">
        <f>O59*2*0.48/(1.45+0.48)</f>
        <v>2.0235490286462866E-2</v>
      </c>
      <c r="P65" s="14">
        <f>O59*100/M59</f>
        <v>3.1854322510285629</v>
      </c>
      <c r="Q65" s="15">
        <f>-1.99*273*LN(M65)/1000</f>
        <v>0.24650065678071897</v>
      </c>
      <c r="R65" s="15">
        <f>ABS(1.99*273*O65/M65/1000)</f>
        <v>1.7305497790162872E-2</v>
      </c>
      <c r="S65" s="55"/>
    </row>
    <row r="66" spans="1:19" s="19" customFormat="1">
      <c r="A66" s="182" t="s">
        <v>733</v>
      </c>
      <c r="B66" s="30">
        <v>0.2</v>
      </c>
      <c r="C66" s="30">
        <v>0.2</v>
      </c>
      <c r="D66" s="18">
        <v>0.04</v>
      </c>
      <c r="E66" s="31">
        <v>1</v>
      </c>
      <c r="F66" s="31">
        <v>0.71</v>
      </c>
      <c r="G66" s="31">
        <v>0.4</v>
      </c>
      <c r="H66" s="32">
        <v>0.36</v>
      </c>
      <c r="I66" s="32">
        <f t="shared" ref="I66:J68" si="36">E66/(E66+G66)</f>
        <v>0.7142857142857143</v>
      </c>
      <c r="J66" s="31">
        <f t="shared" si="36"/>
        <v>0.66355140186915895</v>
      </c>
      <c r="K66" s="33">
        <f t="shared" ref="K66:L68" si="37">-LN(I66)</f>
        <v>0.33647223662121289</v>
      </c>
      <c r="L66" s="33">
        <f t="shared" si="37"/>
        <v>0.41014895742059065</v>
      </c>
      <c r="M66" s="34" cm="1">
        <f t="array" ref="M66:N70">LINEST(L66:L68,K66:K68,FALSE,TRUE)</f>
        <v>1.1112365115992975</v>
      </c>
      <c r="N66" s="34">
        <v>0</v>
      </c>
      <c r="O66" s="176">
        <f>TINV(0.32,N69)*M67</f>
        <v>3.0518319401354736E-2</v>
      </c>
      <c r="P66" s="179">
        <f>O66*100/M66</f>
        <v>2.7463387931190821</v>
      </c>
      <c r="Q66" s="173">
        <f>-1.99*273*LN(M66)/1000</f>
        <v>-5.7300517572637863E-2</v>
      </c>
      <c r="R66" s="173">
        <f>ABS(1.99*273*O66/M66/1000)</f>
        <v>1.4920034761378037E-2</v>
      </c>
      <c r="S66" s="77"/>
    </row>
    <row r="67" spans="1:19">
      <c r="A67" s="183"/>
      <c r="B67" s="22">
        <v>0.2</v>
      </c>
      <c r="C67" s="22">
        <v>0.2</v>
      </c>
      <c r="D67" s="15">
        <v>0.08</v>
      </c>
      <c r="E67" s="23">
        <v>1</v>
      </c>
      <c r="F67" s="23">
        <v>0.68</v>
      </c>
      <c r="G67" s="23">
        <v>0.65</v>
      </c>
      <c r="H67" s="27">
        <v>0.56999999999999995</v>
      </c>
      <c r="I67" s="24">
        <f t="shared" si="36"/>
        <v>0.60606060606060608</v>
      </c>
      <c r="J67" s="23">
        <f t="shared" si="36"/>
        <v>0.54400000000000004</v>
      </c>
      <c r="K67" s="25">
        <f t="shared" si="37"/>
        <v>0.50077528791248926</v>
      </c>
      <c r="L67" s="25">
        <f t="shared" si="37"/>
        <v>0.60880603212619433</v>
      </c>
      <c r="M67" s="26">
        <v>2.3268389951925865E-2</v>
      </c>
      <c r="N67" s="26" t="e">
        <v>#N/A</v>
      </c>
      <c r="O67" s="177"/>
      <c r="P67" s="180"/>
      <c r="Q67" s="174"/>
      <c r="R67" s="174"/>
      <c r="S67" s="55"/>
    </row>
    <row r="68" spans="1:19">
      <c r="A68" s="183"/>
      <c r="B68" s="22">
        <v>0.2</v>
      </c>
      <c r="C68" s="22">
        <v>0.2</v>
      </c>
      <c r="D68" s="22">
        <v>0.12</v>
      </c>
      <c r="E68" s="23">
        <v>1</v>
      </c>
      <c r="F68" s="23">
        <v>0.63</v>
      </c>
      <c r="G68" s="23">
        <v>5.92</v>
      </c>
      <c r="H68" s="27">
        <v>4.67</v>
      </c>
      <c r="I68" s="24">
        <f t="shared" si="36"/>
        <v>0.14450867052023122</v>
      </c>
      <c r="J68" s="23">
        <f t="shared" si="36"/>
        <v>0.11886792452830189</v>
      </c>
      <c r="K68" s="25">
        <f t="shared" si="37"/>
        <v>1.9344157696295781</v>
      </c>
      <c r="L68" s="25">
        <f t="shared" si="37"/>
        <v>2.1297422801546348</v>
      </c>
      <c r="M68" s="26">
        <v>0.99912386911112017</v>
      </c>
      <c r="N68" s="26">
        <v>4.7149095311082065E-2</v>
      </c>
      <c r="O68" s="177"/>
      <c r="P68" s="180"/>
      <c r="Q68" s="174"/>
      <c r="R68" s="174"/>
      <c r="S68" s="55"/>
    </row>
    <row r="69" spans="1:19">
      <c r="A69" s="183"/>
      <c r="B69" s="28"/>
      <c r="C69" s="28"/>
      <c r="D69" s="28"/>
      <c r="E69" s="28"/>
      <c r="F69" s="28"/>
      <c r="G69" s="28"/>
      <c r="H69" s="28"/>
      <c r="I69" s="28"/>
      <c r="J69" s="28"/>
      <c r="K69" s="28"/>
      <c r="L69" s="28"/>
      <c r="M69" s="26">
        <v>2280.76394016532</v>
      </c>
      <c r="N69" s="26">
        <v>2</v>
      </c>
      <c r="O69" s="177"/>
      <c r="P69" s="180"/>
      <c r="Q69" s="174"/>
      <c r="R69" s="174"/>
      <c r="S69" s="55"/>
    </row>
    <row r="70" spans="1:19">
      <c r="A70" s="184"/>
      <c r="B70" s="29"/>
      <c r="C70" s="29"/>
      <c r="D70" s="29"/>
      <c r="E70" s="29"/>
      <c r="F70" s="29"/>
      <c r="G70" s="29"/>
      <c r="H70" s="29"/>
      <c r="I70" s="29"/>
      <c r="J70" s="29"/>
      <c r="K70" s="29"/>
      <c r="L70" s="29"/>
      <c r="M70" s="26">
        <v>5.0702230575273939</v>
      </c>
      <c r="N70" s="26">
        <v>4.4460743773070011E-3</v>
      </c>
      <c r="O70" s="178"/>
      <c r="P70" s="181"/>
      <c r="Q70" s="175"/>
      <c r="R70" s="175"/>
      <c r="S70" s="55"/>
    </row>
    <row r="71" spans="1:19" s="19" customFormat="1">
      <c r="A71" s="182" t="s">
        <v>734</v>
      </c>
      <c r="B71" s="22">
        <v>0.2</v>
      </c>
      <c r="C71" s="22">
        <v>0.2</v>
      </c>
      <c r="D71" s="15">
        <v>0.04</v>
      </c>
      <c r="E71" s="23">
        <v>0.95799999999999996</v>
      </c>
      <c r="F71" s="23">
        <v>0.90600000000000003</v>
      </c>
      <c r="G71" s="23">
        <v>0.152</v>
      </c>
      <c r="H71" s="27">
        <v>0.17199999999999999</v>
      </c>
      <c r="I71" s="24">
        <f t="shared" ref="I71:J73" si="38">E71/(E71+G71)</f>
        <v>0.86306306306306313</v>
      </c>
      <c r="J71" s="23">
        <f t="shared" si="38"/>
        <v>0.84044526901669758</v>
      </c>
      <c r="K71" s="25">
        <f t="shared" ref="K71:L73" si="39">-LN(I71)</f>
        <v>0.14726751633551921</v>
      </c>
      <c r="L71" s="25">
        <f t="shared" si="39"/>
        <v>0.17382344542596315</v>
      </c>
      <c r="M71" s="48" cm="1">
        <f t="array" ref="M71:N75">LINEST(L71:L73,K71:K73,FALSE,TRUE)</f>
        <v>1.0878309565866287</v>
      </c>
      <c r="N71" s="34">
        <v>0</v>
      </c>
      <c r="O71" s="176">
        <f t="shared" ref="O71" si="40">TINV(0.32,N74)*M72</f>
        <v>1.7234317503534116E-2</v>
      </c>
      <c r="P71" s="179">
        <f>O71*100/M71</f>
        <v>1.5842826864949282</v>
      </c>
      <c r="Q71" s="173">
        <f>-1.99*273*LN(M71)/1000</f>
        <v>-4.5735600865620653E-2</v>
      </c>
      <c r="R71" s="173">
        <f>ABS(1.99*273*O71/M71/1000)</f>
        <v>8.606932550920994E-3</v>
      </c>
      <c r="S71" s="77"/>
    </row>
    <row r="72" spans="1:19">
      <c r="A72" s="183"/>
      <c r="B72" s="22">
        <v>0.2</v>
      </c>
      <c r="C72" s="22">
        <v>0.2</v>
      </c>
      <c r="D72" s="22">
        <v>0.06</v>
      </c>
      <c r="E72" s="23">
        <v>0.89700000000000002</v>
      </c>
      <c r="F72" s="23">
        <v>0.83699999999999997</v>
      </c>
      <c r="G72" s="23">
        <v>0.39400000000000002</v>
      </c>
      <c r="H72" s="27">
        <v>0.41299999999999998</v>
      </c>
      <c r="I72" s="24">
        <f t="shared" si="38"/>
        <v>0.69481022463206821</v>
      </c>
      <c r="J72" s="23">
        <f t="shared" si="38"/>
        <v>0.66959999999999997</v>
      </c>
      <c r="K72" s="25">
        <f t="shared" si="39"/>
        <v>0.36411652878784634</v>
      </c>
      <c r="L72" s="25">
        <f t="shared" si="39"/>
        <v>0.40107475980687152</v>
      </c>
      <c r="M72" s="26">
        <v>1.3140134453463117E-2</v>
      </c>
      <c r="N72" s="26" t="e">
        <v>#N/A</v>
      </c>
      <c r="O72" s="177"/>
      <c r="P72" s="180"/>
      <c r="Q72" s="174"/>
      <c r="R72" s="174"/>
      <c r="S72" s="55"/>
    </row>
    <row r="73" spans="1:19">
      <c r="A73" s="183"/>
      <c r="B73" s="22">
        <v>0.2</v>
      </c>
      <c r="C73" s="22">
        <v>0.2</v>
      </c>
      <c r="D73" s="22">
        <v>0.08</v>
      </c>
      <c r="E73" s="23">
        <v>0.78500000000000003</v>
      </c>
      <c r="F73" s="23">
        <v>0.71599999999999997</v>
      </c>
      <c r="G73" s="23">
        <v>0.84499999999999997</v>
      </c>
      <c r="H73" s="27">
        <v>0.86099999999999999</v>
      </c>
      <c r="I73" s="24">
        <f t="shared" si="38"/>
        <v>0.48159509202453993</v>
      </c>
      <c r="J73" s="23">
        <f t="shared" si="38"/>
        <v>0.4540266328471782</v>
      </c>
      <c r="K73" s="25">
        <f t="shared" si="39"/>
        <v>0.73065157601839947</v>
      </c>
      <c r="L73" s="25">
        <f t="shared" si="39"/>
        <v>0.78959942000239269</v>
      </c>
      <c r="M73" s="26">
        <v>0.99970827068517976</v>
      </c>
      <c r="N73" s="26">
        <v>1.0900137891778473E-2</v>
      </c>
      <c r="O73" s="177"/>
      <c r="P73" s="180"/>
      <c r="Q73" s="174"/>
      <c r="R73" s="174"/>
      <c r="S73" s="55"/>
    </row>
    <row r="74" spans="1:19">
      <c r="A74" s="183"/>
      <c r="B74" s="28"/>
      <c r="C74" s="28"/>
      <c r="D74" s="28"/>
      <c r="E74" s="28"/>
      <c r="F74" s="28"/>
      <c r="G74" s="28"/>
      <c r="H74" s="28"/>
      <c r="I74" s="28"/>
      <c r="J74" s="28"/>
      <c r="K74" s="28"/>
      <c r="L74" s="28"/>
      <c r="M74" s="26">
        <v>6853.6703025604975</v>
      </c>
      <c r="N74" s="26">
        <v>2</v>
      </c>
      <c r="O74" s="177"/>
      <c r="P74" s="180"/>
      <c r="Q74" s="174"/>
      <c r="R74" s="174"/>
      <c r="S74" s="55"/>
    </row>
    <row r="75" spans="1:19">
      <c r="A75" s="184"/>
      <c r="B75" s="29"/>
      <c r="C75" s="29"/>
      <c r="D75" s="29"/>
      <c r="E75" s="29"/>
      <c r="F75" s="29"/>
      <c r="G75" s="29"/>
      <c r="H75" s="29"/>
      <c r="I75" s="29"/>
      <c r="J75" s="29"/>
      <c r="K75" s="29"/>
      <c r="L75" s="29"/>
      <c r="M75" s="26">
        <v>0.81430517118988788</v>
      </c>
      <c r="N75" s="26">
        <v>2.376260121195697E-4</v>
      </c>
      <c r="O75" s="178"/>
      <c r="P75" s="181"/>
      <c r="Q75" s="175"/>
      <c r="R75" s="175"/>
      <c r="S75" s="55"/>
    </row>
    <row r="76" spans="1:19" s="19" customFormat="1">
      <c r="A76" s="182" t="s">
        <v>735</v>
      </c>
      <c r="B76" s="30">
        <v>0.2</v>
      </c>
      <c r="C76" s="30">
        <v>0.2</v>
      </c>
      <c r="D76" s="18">
        <v>0.04</v>
      </c>
      <c r="E76" s="31">
        <v>1</v>
      </c>
      <c r="F76" s="31">
        <v>1.08</v>
      </c>
      <c r="G76" s="31">
        <v>0.46</v>
      </c>
      <c r="H76" s="32">
        <v>0.46</v>
      </c>
      <c r="I76" s="32">
        <f t="shared" ref="I76:J78" si="41">E76/(E76+G76)</f>
        <v>0.68493150684931503</v>
      </c>
      <c r="J76" s="31">
        <f t="shared" si="41"/>
        <v>0.70129870129870131</v>
      </c>
      <c r="K76" s="33">
        <f>-LN(I76)</f>
        <v>0.3784364357202451</v>
      </c>
      <c r="L76" s="33">
        <f t="shared" ref="L76:L78" si="42">-LN(J76)</f>
        <v>0.35482137528940944</v>
      </c>
      <c r="M76" s="48" cm="1">
        <f t="array" ref="M76:N80">LINEST(L76:L78,K76:K78,FALSE,TRUE)</f>
        <v>0.95721835284769785</v>
      </c>
      <c r="N76" s="34">
        <v>0</v>
      </c>
      <c r="O76" s="176">
        <f t="shared" ref="O76" si="43">TINV(0.32,N79)*M77</f>
        <v>1.0295296223558983E-2</v>
      </c>
      <c r="P76" s="179">
        <f>O76*100/M76</f>
        <v>1.0755431289977635</v>
      </c>
      <c r="Q76" s="173">
        <f>-1.99*273*LN(M76)/1000</f>
        <v>2.3753801477470183E-2</v>
      </c>
      <c r="R76" s="173">
        <f>ABS(1.99*273*O76/M76/1000)</f>
        <v>5.8431031569061492E-3</v>
      </c>
      <c r="S76" s="77"/>
    </row>
    <row r="77" spans="1:19">
      <c r="A77" s="183"/>
      <c r="B77" s="22">
        <v>0.2</v>
      </c>
      <c r="C77" s="22">
        <v>0.2</v>
      </c>
      <c r="D77" s="15">
        <v>0.08</v>
      </c>
      <c r="E77" s="23">
        <v>1</v>
      </c>
      <c r="F77" s="23">
        <v>1.03</v>
      </c>
      <c r="G77" s="23">
        <v>1.31</v>
      </c>
      <c r="H77" s="27">
        <v>1.32</v>
      </c>
      <c r="I77" s="24">
        <f t="shared" si="41"/>
        <v>0.4329004329004329</v>
      </c>
      <c r="J77" s="23">
        <f t="shared" si="41"/>
        <v>0.43829787234042555</v>
      </c>
      <c r="K77" s="25">
        <f>-LN(I77)</f>
        <v>0.83724752453370221</v>
      </c>
      <c r="L77" s="25">
        <f t="shared" si="42"/>
        <v>0.82485652591452319</v>
      </c>
      <c r="M77" s="26">
        <v>7.8495464986098173E-3</v>
      </c>
      <c r="N77" s="26" t="e">
        <v>#N/A</v>
      </c>
      <c r="O77" s="177"/>
      <c r="P77" s="180"/>
      <c r="Q77" s="174"/>
      <c r="R77" s="174"/>
      <c r="S77" s="55"/>
    </row>
    <row r="78" spans="1:19">
      <c r="A78" s="183"/>
      <c r="B78" s="22">
        <v>0.2</v>
      </c>
      <c r="C78" s="22">
        <v>0.2</v>
      </c>
      <c r="D78" s="22">
        <v>0.12</v>
      </c>
      <c r="E78" s="23">
        <v>1</v>
      </c>
      <c r="F78" s="23">
        <v>1.1499999999999999</v>
      </c>
      <c r="G78" s="23">
        <v>7.46</v>
      </c>
      <c r="H78" s="27">
        <v>7.66</v>
      </c>
      <c r="I78" s="24">
        <f t="shared" si="41"/>
        <v>0.11820330969267138</v>
      </c>
      <c r="J78" s="23">
        <f t="shared" si="41"/>
        <v>0.13053348467650397</v>
      </c>
      <c r="K78" s="25">
        <f>-LN(I78)</f>
        <v>2.135349173618132</v>
      </c>
      <c r="L78" s="25">
        <f t="shared" si="42"/>
        <v>2.0361254975729293</v>
      </c>
      <c r="M78" s="26">
        <v>0.99986552588658273</v>
      </c>
      <c r="N78" s="26">
        <v>1.8247306488337157E-2</v>
      </c>
      <c r="O78" s="177"/>
      <c r="P78" s="180"/>
      <c r="Q78" s="174"/>
      <c r="R78" s="174"/>
      <c r="S78" s="55"/>
    </row>
    <row r="79" spans="1:19">
      <c r="A79" s="183"/>
      <c r="B79" s="28"/>
      <c r="C79" s="28"/>
      <c r="D79" s="28"/>
      <c r="E79" s="28"/>
      <c r="F79" s="28"/>
      <c r="G79" s="28"/>
      <c r="H79" s="28"/>
      <c r="I79" s="28"/>
      <c r="J79" s="28"/>
      <c r="K79" s="28"/>
      <c r="L79" s="28"/>
      <c r="M79" s="26">
        <v>14870.750964306619</v>
      </c>
      <c r="N79" s="26">
        <v>2</v>
      </c>
      <c r="O79" s="177"/>
      <c r="P79" s="180"/>
      <c r="Q79" s="174"/>
      <c r="R79" s="174"/>
      <c r="S79" s="55"/>
    </row>
    <row r="80" spans="1:19">
      <c r="A80" s="184"/>
      <c r="B80" s="29"/>
      <c r="C80" s="29"/>
      <c r="D80" s="29"/>
      <c r="E80" s="29"/>
      <c r="F80" s="29"/>
      <c r="G80" s="29"/>
      <c r="H80" s="29"/>
      <c r="I80" s="29"/>
      <c r="J80" s="29"/>
      <c r="K80" s="29"/>
      <c r="L80" s="29"/>
      <c r="M80" s="26">
        <v>4.9514276101844938</v>
      </c>
      <c r="N80" s="26">
        <v>6.6592838815862252E-4</v>
      </c>
      <c r="O80" s="178"/>
      <c r="P80" s="181"/>
      <c r="Q80" s="175"/>
      <c r="R80" s="175"/>
      <c r="S80" s="55"/>
    </row>
    <row r="81" spans="1:19" s="19" customFormat="1">
      <c r="A81" s="182" t="s">
        <v>736</v>
      </c>
      <c r="B81" s="30">
        <v>0.2</v>
      </c>
      <c r="C81" s="30">
        <v>0.2</v>
      </c>
      <c r="D81" s="18">
        <v>0.04</v>
      </c>
      <c r="E81" s="31">
        <v>1</v>
      </c>
      <c r="F81" s="31">
        <v>1.83</v>
      </c>
      <c r="G81" s="31">
        <v>0.27</v>
      </c>
      <c r="H81" s="32">
        <v>0.26</v>
      </c>
      <c r="I81" s="32">
        <f t="shared" ref="I81:J83" si="44">E81/(E81+G81)</f>
        <v>0.78740157480314954</v>
      </c>
      <c r="J81" s="31">
        <f t="shared" si="44"/>
        <v>0.87559808612440204</v>
      </c>
      <c r="K81" s="33">
        <f>-LN(I81)</f>
        <v>0.23901690047049998</v>
      </c>
      <c r="L81" s="33">
        <f t="shared" ref="L81:L83" si="45">-LN(J81)</f>
        <v>0.13284809912338991</v>
      </c>
      <c r="M81" s="48" cm="1">
        <f t="array" ref="M81:N85">LINEST(L81:L83,K81:K83,FALSE,TRUE)</f>
        <v>0.61273586622177389</v>
      </c>
      <c r="N81" s="34">
        <v>0</v>
      </c>
      <c r="O81" s="176">
        <f t="shared" ref="O81" si="46">TINV(0.32,N84)*M82</f>
        <v>3.4353760231094932E-2</v>
      </c>
      <c r="P81" s="179">
        <f>O81*100/M81</f>
        <v>5.6066181408517251</v>
      </c>
      <c r="Q81" s="173">
        <f>-1.99*273*LN(M81)/1000</f>
        <v>0.26610523013614784</v>
      </c>
      <c r="R81" s="173">
        <f>ABS(1.99*273*O81/M81/1000)</f>
        <v>3.0459074373805167E-2</v>
      </c>
      <c r="S81" s="77"/>
    </row>
    <row r="82" spans="1:19">
      <c r="A82" s="183"/>
      <c r="B82" s="22">
        <v>0.2</v>
      </c>
      <c r="C82" s="22">
        <v>0.2</v>
      </c>
      <c r="D82" s="15">
        <v>0.08</v>
      </c>
      <c r="E82" s="23">
        <v>1</v>
      </c>
      <c r="F82" s="23">
        <v>1.25</v>
      </c>
      <c r="G82" s="23">
        <v>0.34</v>
      </c>
      <c r="H82" s="27">
        <v>0.24</v>
      </c>
      <c r="I82" s="24">
        <f t="shared" si="44"/>
        <v>0.74626865671641784</v>
      </c>
      <c r="J82" s="23">
        <f t="shared" si="44"/>
        <v>0.83892617449664431</v>
      </c>
      <c r="K82" s="25">
        <f>-LN(I82)</f>
        <v>0.2926696139628201</v>
      </c>
      <c r="L82" s="25">
        <f t="shared" si="45"/>
        <v>0.17563256864315802</v>
      </c>
      <c r="M82" s="26">
        <v>2.6192683773294392E-2</v>
      </c>
      <c r="N82" s="26" t="e">
        <v>#N/A</v>
      </c>
      <c r="O82" s="177"/>
      <c r="P82" s="180"/>
      <c r="Q82" s="174"/>
      <c r="R82" s="174"/>
      <c r="S82" s="55"/>
    </row>
    <row r="83" spans="1:19">
      <c r="A83" s="183"/>
      <c r="B83" s="22">
        <v>0.2</v>
      </c>
      <c r="C83" s="22">
        <v>0.2</v>
      </c>
      <c r="D83" s="22">
        <v>0.12</v>
      </c>
      <c r="E83" s="23">
        <v>1</v>
      </c>
      <c r="F83" s="23">
        <v>1.1200000000000001</v>
      </c>
      <c r="G83" s="23">
        <v>0.41</v>
      </c>
      <c r="H83" s="27">
        <v>0.28000000000000003</v>
      </c>
      <c r="I83" s="24">
        <f t="shared" si="44"/>
        <v>0.70921985815602839</v>
      </c>
      <c r="J83" s="23">
        <f t="shared" si="44"/>
        <v>0.8</v>
      </c>
      <c r="K83" s="25">
        <f>-LN(I83)</f>
        <v>0.34358970439007686</v>
      </c>
      <c r="L83" s="25">
        <f t="shared" si="45"/>
        <v>0.22314355131420971</v>
      </c>
      <c r="M83" s="26">
        <v>0.99635867789036725</v>
      </c>
      <c r="N83" s="26">
        <v>1.3377218442795314E-2</v>
      </c>
      <c r="O83" s="177"/>
      <c r="P83" s="180"/>
      <c r="Q83" s="174"/>
      <c r="R83" s="174"/>
      <c r="S83" s="55"/>
    </row>
    <row r="84" spans="1:19">
      <c r="A84" s="183"/>
      <c r="B84" s="28"/>
      <c r="C84" s="28"/>
      <c r="D84" s="28"/>
      <c r="E84" s="28"/>
      <c r="F84" s="28"/>
      <c r="G84" s="28"/>
      <c r="H84" s="28"/>
      <c r="I84" s="28"/>
      <c r="J84" s="28"/>
      <c r="K84" s="28"/>
      <c r="L84" s="28"/>
      <c r="M84" s="26">
        <v>547.25105216843872</v>
      </c>
      <c r="N84" s="26">
        <v>2</v>
      </c>
      <c r="O84" s="177"/>
      <c r="P84" s="180"/>
      <c r="Q84" s="174"/>
      <c r="R84" s="174"/>
      <c r="S84" s="55"/>
    </row>
    <row r="85" spans="1:19">
      <c r="A85" s="184"/>
      <c r="B85" s="29"/>
      <c r="C85" s="29"/>
      <c r="D85" s="29"/>
      <c r="E85" s="29"/>
      <c r="F85" s="29"/>
      <c r="G85" s="29"/>
      <c r="H85" s="29"/>
      <c r="I85" s="29"/>
      <c r="J85" s="29"/>
      <c r="K85" s="29"/>
      <c r="L85" s="29"/>
      <c r="M85" s="26">
        <v>9.793056115547645E-2</v>
      </c>
      <c r="N85" s="26">
        <v>3.5789994653252614E-4</v>
      </c>
      <c r="O85" s="178"/>
      <c r="P85" s="181"/>
      <c r="Q85" s="175"/>
      <c r="R85" s="175"/>
      <c r="S85" s="55"/>
    </row>
    <row r="86" spans="1:19" s="19" customFormat="1">
      <c r="A86" s="182" t="s">
        <v>737</v>
      </c>
      <c r="B86" s="30">
        <v>0.2</v>
      </c>
      <c r="C86" s="30">
        <v>0.2</v>
      </c>
      <c r="D86" s="18">
        <v>0.02</v>
      </c>
      <c r="E86" s="31">
        <v>1</v>
      </c>
      <c r="F86" s="31">
        <v>1.2549999999999999</v>
      </c>
      <c r="G86" s="31">
        <v>0.28000000000000003</v>
      </c>
      <c r="H86" s="32">
        <v>0.12</v>
      </c>
      <c r="I86" s="32">
        <f t="shared" ref="I86:J90" si="47">E86/(E86+G86)</f>
        <v>0.78125</v>
      </c>
      <c r="J86" s="31">
        <f t="shared" si="47"/>
        <v>0.91272727272727261</v>
      </c>
      <c r="K86" s="33">
        <f t="shared" ref="K86:L90" si="48">-LN(I86)</f>
        <v>0.24686007793152578</v>
      </c>
      <c r="L86" s="33">
        <f t="shared" si="48"/>
        <v>9.131815853478753E-2</v>
      </c>
      <c r="M86" s="34" cm="1">
        <f t="array" ref="M86:N90">LINEST(L86:L90,K86:K90,FALSE,TRUE)</f>
        <v>0.32561588909001538</v>
      </c>
      <c r="N86" s="34">
        <v>0</v>
      </c>
      <c r="O86" s="176">
        <f t="shared" ref="O86" si="49">TINV(0.32,N89)*M87</f>
        <v>7.1055175408332432E-3</v>
      </c>
      <c r="P86" s="179">
        <f>O86*100/M86</f>
        <v>2.1821777680108685</v>
      </c>
      <c r="Q86" s="173">
        <f>-1.99*273*LN(M86)/1000</f>
        <v>0.60956895766753671</v>
      </c>
      <c r="R86" s="173">
        <f>ABS(1.99*273*O86/M86/1000)</f>
        <v>1.1855117160272646E-2</v>
      </c>
      <c r="S86" s="77"/>
    </row>
    <row r="87" spans="1:19">
      <c r="A87" s="183"/>
      <c r="B87" s="22">
        <v>0.2</v>
      </c>
      <c r="C87" s="22">
        <v>0.2</v>
      </c>
      <c r="D87" s="15">
        <v>0.04</v>
      </c>
      <c r="E87" s="23">
        <v>1</v>
      </c>
      <c r="F87" s="23">
        <v>1.5</v>
      </c>
      <c r="G87" s="23">
        <v>0.73</v>
      </c>
      <c r="H87" s="27">
        <v>0.32</v>
      </c>
      <c r="I87" s="24">
        <f t="shared" si="47"/>
        <v>0.5780346820809249</v>
      </c>
      <c r="J87" s="23">
        <f t="shared" si="47"/>
        <v>0.82417582417582413</v>
      </c>
      <c r="K87" s="25">
        <f t="shared" si="48"/>
        <v>0.54812140850968749</v>
      </c>
      <c r="L87" s="25">
        <f t="shared" si="48"/>
        <v>0.19337139298053965</v>
      </c>
      <c r="M87" s="26">
        <v>6.2636976371185336E-3</v>
      </c>
      <c r="N87" s="26" t="e">
        <v>#N/A</v>
      </c>
      <c r="O87" s="177"/>
      <c r="P87" s="180"/>
      <c r="Q87" s="174"/>
      <c r="R87" s="174"/>
      <c r="S87" s="55"/>
    </row>
    <row r="88" spans="1:19">
      <c r="A88" s="183"/>
      <c r="B88" s="22">
        <v>0.2</v>
      </c>
      <c r="C88" s="22">
        <v>0.2</v>
      </c>
      <c r="D88" s="22">
        <v>0.06</v>
      </c>
      <c r="E88" s="23">
        <v>1</v>
      </c>
      <c r="F88" s="23">
        <v>1.8049999999999999</v>
      </c>
      <c r="G88" s="23">
        <v>1.39</v>
      </c>
      <c r="H88" s="27">
        <v>0.63</v>
      </c>
      <c r="I88" s="24">
        <f t="shared" si="47"/>
        <v>0.41841004184100422</v>
      </c>
      <c r="J88" s="23">
        <f t="shared" si="47"/>
        <v>0.74127310061601637</v>
      </c>
      <c r="K88" s="25">
        <f t="shared" si="48"/>
        <v>0.87129336594341922</v>
      </c>
      <c r="L88" s="25">
        <f t="shared" si="48"/>
        <v>0.29938616474970897</v>
      </c>
      <c r="M88" s="26">
        <v>0.99852202179066551</v>
      </c>
      <c r="N88" s="26">
        <v>1.8456146601930044E-2</v>
      </c>
      <c r="O88" s="177"/>
      <c r="P88" s="180"/>
      <c r="Q88" s="174"/>
      <c r="R88" s="174"/>
      <c r="S88" s="55"/>
    </row>
    <row r="89" spans="1:19">
      <c r="A89" s="183"/>
      <c r="B89" s="22">
        <v>0.2</v>
      </c>
      <c r="C89" s="22">
        <v>0.2</v>
      </c>
      <c r="D89" s="22">
        <v>0.08</v>
      </c>
      <c r="E89" s="23">
        <v>1</v>
      </c>
      <c r="F89" s="23">
        <v>2.7549999999999999</v>
      </c>
      <c r="G89" s="23">
        <v>3.38</v>
      </c>
      <c r="H89" s="27">
        <v>1.78</v>
      </c>
      <c r="I89" s="24">
        <f t="shared" si="47"/>
        <v>0.22831050228310504</v>
      </c>
      <c r="J89" s="23">
        <f t="shared" si="47"/>
        <v>0.60749724366041891</v>
      </c>
      <c r="K89" s="25">
        <f t="shared" si="48"/>
        <v>1.4770487243883548</v>
      </c>
      <c r="L89" s="25">
        <f t="shared" si="48"/>
        <v>0.49840764096222223</v>
      </c>
      <c r="M89" s="26">
        <v>2702.3998472624103</v>
      </c>
      <c r="N89" s="26">
        <v>4</v>
      </c>
      <c r="O89" s="177"/>
      <c r="P89" s="180"/>
      <c r="Q89" s="174"/>
      <c r="R89" s="174"/>
      <c r="S89" s="55"/>
    </row>
    <row r="90" spans="1:19">
      <c r="A90" s="184"/>
      <c r="B90" s="22">
        <v>0.2</v>
      </c>
      <c r="C90" s="22">
        <v>0.2</v>
      </c>
      <c r="D90" s="22">
        <v>0.1</v>
      </c>
      <c r="E90" s="23">
        <v>1</v>
      </c>
      <c r="F90" s="23">
        <v>4.8499999999999996</v>
      </c>
      <c r="G90" s="23">
        <v>9.17</v>
      </c>
      <c r="H90" s="27">
        <v>5.25</v>
      </c>
      <c r="I90" s="24">
        <f t="shared" si="47"/>
        <v>9.8328416912487712E-2</v>
      </c>
      <c r="J90" s="23">
        <f t="shared" si="47"/>
        <v>0.48019801980198018</v>
      </c>
      <c r="K90" s="25">
        <f t="shared" si="48"/>
        <v>2.3194422100604686</v>
      </c>
      <c r="L90" s="25">
        <f t="shared" si="48"/>
        <v>0.73355671889782192</v>
      </c>
      <c r="M90" s="26">
        <v>0.92051669636505662</v>
      </c>
      <c r="N90" s="26">
        <v>1.3625173895677356E-3</v>
      </c>
      <c r="O90" s="178"/>
      <c r="P90" s="181"/>
      <c r="Q90" s="175"/>
      <c r="R90" s="175"/>
      <c r="S90" s="55"/>
    </row>
    <row r="91" spans="1:19" s="19" customFormat="1">
      <c r="A91" s="182" t="s">
        <v>738</v>
      </c>
      <c r="B91" s="30">
        <v>0.2</v>
      </c>
      <c r="C91" s="30">
        <v>0.2</v>
      </c>
      <c r="D91" s="18">
        <v>0.02</v>
      </c>
      <c r="E91" s="31">
        <v>1</v>
      </c>
      <c r="F91" s="31">
        <v>1.04</v>
      </c>
      <c r="G91" s="31">
        <v>1.1599999999999999</v>
      </c>
      <c r="H91" s="32">
        <v>0.29500000000000004</v>
      </c>
      <c r="I91" s="32">
        <f t="shared" ref="I91:J93" si="50">E91/(E91+G91)</f>
        <v>0.46296296296296291</v>
      </c>
      <c r="J91" s="31">
        <f t="shared" si="50"/>
        <v>0.77902621722846443</v>
      </c>
      <c r="K91" s="33">
        <f t="shared" ref="K91:L93" si="51">-LN(I91)</f>
        <v>0.77010822169607374</v>
      </c>
      <c r="L91" s="33">
        <f t="shared" si="51"/>
        <v>0.24971057869893154</v>
      </c>
      <c r="M91" s="34" cm="1">
        <f t="array" ref="M91:N95">LINEST(L91:L93,K91:K93,FALSE,TRUE)</f>
        <v>0.27666193704809927</v>
      </c>
      <c r="N91" s="34">
        <v>0</v>
      </c>
      <c r="O91" s="176">
        <f t="shared" ref="O91" si="52">TINV(0.32,N94)*M92</f>
        <v>3.5492095330731409E-2</v>
      </c>
      <c r="P91" s="179">
        <f>O91*100/M91</f>
        <v>12.828687498331549</v>
      </c>
      <c r="Q91" s="173">
        <f>-1.99*273*LN(M91)/1000</f>
        <v>0.6980796552925822</v>
      </c>
      <c r="R91" s="173">
        <f>ABS(1.99*273*O91/M91/1000)</f>
        <v>6.9694410572185797E-2</v>
      </c>
      <c r="S91" s="77"/>
    </row>
    <row r="92" spans="1:19">
      <c r="A92" s="183"/>
      <c r="B92" s="22">
        <v>0.2</v>
      </c>
      <c r="C92" s="22">
        <v>0.2</v>
      </c>
      <c r="D92" s="15">
        <v>0.04</v>
      </c>
      <c r="E92" s="23">
        <v>1</v>
      </c>
      <c r="F92" s="23">
        <v>0.65</v>
      </c>
      <c r="G92" s="23">
        <v>2.0699999999999998</v>
      </c>
      <c r="H92" s="27">
        <v>0.28000000000000003</v>
      </c>
      <c r="I92" s="24">
        <f t="shared" si="50"/>
        <v>0.32573289902280134</v>
      </c>
      <c r="J92" s="23">
        <f t="shared" si="50"/>
        <v>0.69892473118279563</v>
      </c>
      <c r="K92" s="25">
        <f t="shared" si="51"/>
        <v>1.1216775615991057</v>
      </c>
      <c r="L92" s="25">
        <f t="shared" si="51"/>
        <v>0.35821222325761892</v>
      </c>
      <c r="M92" s="26">
        <v>2.7060596080193251E-2</v>
      </c>
      <c r="N92" s="26" t="e">
        <v>#N/A</v>
      </c>
      <c r="O92" s="177"/>
      <c r="P92" s="180"/>
      <c r="Q92" s="174"/>
      <c r="R92" s="174"/>
      <c r="S92" s="55"/>
    </row>
    <row r="93" spans="1:19">
      <c r="A93" s="183"/>
      <c r="B93" s="22">
        <v>0.2</v>
      </c>
      <c r="C93" s="22">
        <v>0.2</v>
      </c>
      <c r="D93" s="22">
        <v>0.06</v>
      </c>
      <c r="E93" s="23">
        <v>1</v>
      </c>
      <c r="F93" s="23">
        <v>2.0099999999999998</v>
      </c>
      <c r="G93" s="23">
        <v>3.83</v>
      </c>
      <c r="H93" s="27">
        <v>0.94</v>
      </c>
      <c r="I93" s="24">
        <f t="shared" si="50"/>
        <v>0.20703933747412007</v>
      </c>
      <c r="J93" s="23">
        <f t="shared" si="50"/>
        <v>0.68135593220338986</v>
      </c>
      <c r="K93" s="25">
        <f t="shared" si="51"/>
        <v>1.5748464676644813</v>
      </c>
      <c r="L93" s="25">
        <f t="shared" si="51"/>
        <v>0.38367044828074404</v>
      </c>
      <c r="M93" s="26">
        <v>0.98122523136269035</v>
      </c>
      <c r="N93" s="26">
        <v>5.6318351215299996E-2</v>
      </c>
      <c r="O93" s="177"/>
      <c r="P93" s="180"/>
      <c r="Q93" s="174"/>
      <c r="R93" s="174"/>
      <c r="S93" s="55"/>
    </row>
    <row r="94" spans="1:19">
      <c r="A94" s="183"/>
      <c r="B94" s="45"/>
      <c r="C94" s="45"/>
      <c r="D94" s="45"/>
      <c r="E94" s="46"/>
      <c r="F94" s="46"/>
      <c r="G94" s="46"/>
      <c r="H94" s="46"/>
      <c r="I94" s="46"/>
      <c r="J94" s="46"/>
      <c r="K94" s="47"/>
      <c r="L94" s="47"/>
      <c r="M94" s="26">
        <v>104.52594653153608</v>
      </c>
      <c r="N94" s="26">
        <v>2</v>
      </c>
      <c r="O94" s="177"/>
      <c r="P94" s="180"/>
      <c r="Q94" s="174"/>
      <c r="R94" s="174"/>
      <c r="S94" s="55"/>
    </row>
    <row r="95" spans="1:19">
      <c r="A95" s="183"/>
      <c r="B95" s="45"/>
      <c r="C95" s="45"/>
      <c r="D95" s="45"/>
      <c r="E95" s="46"/>
      <c r="F95" s="46"/>
      <c r="G95" s="46"/>
      <c r="H95" s="46"/>
      <c r="I95" s="46"/>
      <c r="J95" s="46"/>
      <c r="K95" s="47"/>
      <c r="L95" s="47"/>
      <c r="M95" s="26">
        <v>0.3315308695220488</v>
      </c>
      <c r="N95" s="26">
        <v>6.3435133672197653E-3</v>
      </c>
      <c r="O95" s="177"/>
      <c r="P95" s="180"/>
      <c r="Q95" s="174"/>
      <c r="R95" s="174"/>
      <c r="S95" s="55"/>
    </row>
    <row r="96" spans="1:19" s="38" customFormat="1">
      <c r="A96" s="92" t="s">
        <v>739</v>
      </c>
      <c r="B96" s="35"/>
      <c r="C96" s="35"/>
      <c r="D96" s="35"/>
      <c r="E96" s="36"/>
      <c r="F96" s="36"/>
      <c r="G96" s="36"/>
      <c r="H96" s="36"/>
      <c r="I96" s="36"/>
      <c r="J96" s="36"/>
      <c r="K96" s="37"/>
      <c r="L96" s="37"/>
      <c r="M96" s="52">
        <f>M91*2*0.72/(0.22+0.72)</f>
        <v>0.42382254186091806</v>
      </c>
      <c r="N96" s="54"/>
      <c r="O96" s="39">
        <f>O91*2*0.72/(0.22+0.72)</f>
        <v>5.4370869442822579E-2</v>
      </c>
      <c r="P96" s="40">
        <f>O91*100/M91</f>
        <v>12.828687498331549</v>
      </c>
      <c r="Q96" s="41">
        <f>-1.99*273*LN(M96)/1000</f>
        <v>0.46636494039575338</v>
      </c>
      <c r="R96" s="41">
        <f>ABS(1.99*273*O96/M96/1000)</f>
        <v>6.9694410572185783E-2</v>
      </c>
      <c r="S96" s="75"/>
    </row>
    <row r="97" spans="1:19">
      <c r="A97" s="91" t="s">
        <v>740</v>
      </c>
      <c r="B97" s="45"/>
      <c r="C97" s="45"/>
      <c r="D97" s="45"/>
      <c r="E97" s="46"/>
      <c r="F97" s="46"/>
      <c r="G97" s="46"/>
      <c r="H97" s="46"/>
      <c r="I97" s="46"/>
      <c r="J97" s="46"/>
      <c r="K97" s="47"/>
      <c r="L97" s="47"/>
      <c r="M97" s="26">
        <f>M91*2*0.22/(0.22+0.72)</f>
        <v>0.12950133223528051</v>
      </c>
      <c r="N97" s="53"/>
      <c r="O97" s="13">
        <f>O91*2*0.22/(0.22+0.72)</f>
        <v>1.6613321218640235E-2</v>
      </c>
      <c r="P97" s="14">
        <f>O91*100/M91</f>
        <v>12.828687498331549</v>
      </c>
      <c r="Q97" s="15">
        <f>-1.99*273*LN(M97)/1000</f>
        <v>1.1104787092376334</v>
      </c>
      <c r="R97" s="15">
        <f>ABS(1.99*273*O97/M97/1000)</f>
        <v>6.9694410572185797E-2</v>
      </c>
      <c r="S97" s="55"/>
    </row>
    <row r="98" spans="1:19" s="19" customFormat="1">
      <c r="A98" s="182" t="s">
        <v>741</v>
      </c>
      <c r="B98" s="30">
        <v>0.2</v>
      </c>
      <c r="C98" s="30">
        <v>0.2</v>
      </c>
      <c r="D98" s="18">
        <v>0.04</v>
      </c>
      <c r="E98" s="31">
        <v>1</v>
      </c>
      <c r="F98" s="31">
        <v>1.1060000000000001</v>
      </c>
      <c r="G98" s="31">
        <v>0.875</v>
      </c>
      <c r="H98" s="32">
        <v>0.188</v>
      </c>
      <c r="I98" s="32">
        <f t="shared" ref="I98:I100" si="53">E98/(E98+G98)</f>
        <v>0.53333333333333333</v>
      </c>
      <c r="J98" s="31">
        <f t="shared" ref="J98:J100" si="54">F98/(F98+H98)</f>
        <v>0.85471406491499236</v>
      </c>
      <c r="K98" s="33">
        <f t="shared" ref="K98:K100" si="55">-LN(I98)</f>
        <v>0.62860865942237421</v>
      </c>
      <c r="L98" s="33">
        <f t="shared" ref="L98:L100" si="56">-LN(J98)</f>
        <v>0.15698829297856567</v>
      </c>
      <c r="M98" s="34" cm="1">
        <f t="array" ref="M98:N102">LINEST(L98:L100,K98:K100,FALSE,TRUE)</f>
        <v>0.23556715232099906</v>
      </c>
      <c r="N98" s="34">
        <v>0</v>
      </c>
      <c r="O98" s="176">
        <f>TINV(0.32,N101)*M99</f>
        <v>7.3493819083635071E-3</v>
      </c>
      <c r="P98" s="179">
        <f>O98*100/M98</f>
        <v>3.119867025581208</v>
      </c>
      <c r="Q98" s="173">
        <f>-1.99*273*LN(M98)/1000</f>
        <v>0.78543763226355157</v>
      </c>
      <c r="R98" s="173">
        <f>ABS(1.99*273*O98/M98/1000)</f>
        <v>1.6949301589875027E-2</v>
      </c>
      <c r="S98" s="77"/>
    </row>
    <row r="99" spans="1:19">
      <c r="A99" s="183"/>
      <c r="B99" s="22">
        <v>0.2</v>
      </c>
      <c r="C99" s="22">
        <v>0.2</v>
      </c>
      <c r="D99" s="15">
        <v>0.08</v>
      </c>
      <c r="E99" s="23">
        <v>1</v>
      </c>
      <c r="F99" s="23">
        <v>1.6850000000000001</v>
      </c>
      <c r="G99" s="23">
        <v>1.782</v>
      </c>
      <c r="H99" s="27">
        <v>0.435</v>
      </c>
      <c r="I99" s="24">
        <f t="shared" si="53"/>
        <v>0.35945363048166784</v>
      </c>
      <c r="J99" s="23">
        <f t="shared" si="54"/>
        <v>0.79481132075471694</v>
      </c>
      <c r="K99" s="25">
        <f t="shared" si="55"/>
        <v>1.0231700935012513</v>
      </c>
      <c r="L99" s="25">
        <f t="shared" si="56"/>
        <v>0.22965052487959609</v>
      </c>
      <c r="M99" s="26">
        <v>5.6034633460792715E-3</v>
      </c>
      <c r="N99" s="26" t="e">
        <v>#N/A</v>
      </c>
      <c r="O99" s="177"/>
      <c r="P99" s="180"/>
      <c r="Q99" s="174"/>
      <c r="R99" s="174"/>
      <c r="S99" s="55"/>
    </row>
    <row r="100" spans="1:19">
      <c r="A100" s="183"/>
      <c r="B100" s="22">
        <v>0.2</v>
      </c>
      <c r="C100" s="22">
        <v>0.2</v>
      </c>
      <c r="D100" s="22">
        <v>0.12</v>
      </c>
      <c r="E100" s="23">
        <v>1</v>
      </c>
      <c r="F100" s="23">
        <v>2.0089999999999999</v>
      </c>
      <c r="G100" s="23">
        <v>3.3359999999999999</v>
      </c>
      <c r="H100" s="27">
        <v>0.84099999999999997</v>
      </c>
      <c r="I100" s="24">
        <f t="shared" si="53"/>
        <v>0.23062730627306272</v>
      </c>
      <c r="J100" s="23">
        <f t="shared" si="54"/>
        <v>0.70491228070175449</v>
      </c>
      <c r="K100" s="25">
        <f t="shared" si="55"/>
        <v>1.4669522641373451</v>
      </c>
      <c r="L100" s="25">
        <f t="shared" si="56"/>
        <v>0.34968190844776165</v>
      </c>
      <c r="M100" s="26">
        <v>0.99886962534975277</v>
      </c>
      <c r="N100" s="26">
        <v>1.0622923432243112E-2</v>
      </c>
      <c r="O100" s="177"/>
      <c r="P100" s="180"/>
      <c r="Q100" s="174"/>
      <c r="R100" s="174"/>
      <c r="S100" s="55"/>
    </row>
    <row r="101" spans="1:19">
      <c r="A101" s="183"/>
      <c r="B101" s="28"/>
      <c r="C101" s="28"/>
      <c r="D101" s="28"/>
      <c r="E101" s="28"/>
      <c r="F101" s="28"/>
      <c r="G101" s="28"/>
      <c r="H101" s="28"/>
      <c r="I101" s="28"/>
      <c r="J101" s="28"/>
      <c r="K101" s="28"/>
      <c r="L101" s="28"/>
      <c r="M101" s="26">
        <v>1767.3248867201307</v>
      </c>
      <c r="N101" s="26">
        <v>2</v>
      </c>
      <c r="O101" s="177"/>
      <c r="P101" s="180"/>
      <c r="Q101" s="174"/>
      <c r="R101" s="174"/>
      <c r="S101" s="55"/>
    </row>
    <row r="102" spans="1:19">
      <c r="A102" s="183"/>
      <c r="B102" s="29"/>
      <c r="C102" s="29"/>
      <c r="D102" s="29"/>
      <c r="E102" s="29"/>
      <c r="F102" s="29"/>
      <c r="G102" s="29"/>
      <c r="H102" s="29"/>
      <c r="I102" s="29"/>
      <c r="J102" s="29"/>
      <c r="K102" s="29"/>
      <c r="L102" s="29"/>
      <c r="M102" s="26">
        <v>0.19943643180097209</v>
      </c>
      <c r="N102" s="26">
        <v>2.2569300449459958E-4</v>
      </c>
      <c r="O102" s="178"/>
      <c r="P102" s="181"/>
      <c r="Q102" s="175"/>
      <c r="R102" s="175"/>
      <c r="S102" s="55"/>
    </row>
    <row r="103" spans="1:19" s="19" customFormat="1">
      <c r="A103" s="182" t="s">
        <v>742</v>
      </c>
      <c r="B103" s="30">
        <v>0.2</v>
      </c>
      <c r="C103" s="30">
        <v>0.2</v>
      </c>
      <c r="D103" s="18">
        <v>0.02</v>
      </c>
      <c r="E103" s="31">
        <v>0.5</v>
      </c>
      <c r="F103" s="31">
        <v>1.69</v>
      </c>
      <c r="G103" s="31">
        <v>0.75</v>
      </c>
      <c r="H103" s="32">
        <v>0.23</v>
      </c>
      <c r="I103" s="32">
        <f t="shared" ref="I103:J105" si="57">E103/(E103+G103)</f>
        <v>0.4</v>
      </c>
      <c r="J103" s="31">
        <f t="shared" si="57"/>
        <v>0.88020833333333337</v>
      </c>
      <c r="K103" s="33">
        <f t="shared" ref="K103:L105" si="58">-LN(I103)</f>
        <v>0.916290731874155</v>
      </c>
      <c r="L103" s="33">
        <f t="shared" si="58"/>
        <v>0.12759665710470802</v>
      </c>
      <c r="M103" s="34" cm="1">
        <f t="array" ref="M103:N107">LINEST(L103:L105,K103:K105,FALSE,TRUE)</f>
        <v>7.466960433109332E-2</v>
      </c>
      <c r="N103" s="34">
        <v>0</v>
      </c>
      <c r="O103" s="176">
        <f>TINV(0.32,N106)*M104</f>
        <v>2.5134392775032131E-2</v>
      </c>
      <c r="P103" s="179">
        <f>O103*100/M103</f>
        <v>33.660808839408659</v>
      </c>
      <c r="Q103" s="173">
        <f>-1.99*273*LN(M103)/1000</f>
        <v>1.4096129840437581</v>
      </c>
      <c r="R103" s="173">
        <f>ABS(1.99*273*O103/M103/1000)</f>
        <v>0.18286907618185541</v>
      </c>
      <c r="S103" s="77"/>
    </row>
    <row r="104" spans="1:19">
      <c r="A104" s="183"/>
      <c r="B104" s="22">
        <v>0.2</v>
      </c>
      <c r="C104" s="22">
        <v>0.2</v>
      </c>
      <c r="D104" s="15">
        <v>0.04</v>
      </c>
      <c r="E104" s="23">
        <v>0.34</v>
      </c>
      <c r="F104" s="23">
        <v>1.25</v>
      </c>
      <c r="G104" s="23">
        <v>0.83</v>
      </c>
      <c r="H104" s="27">
        <v>0.1</v>
      </c>
      <c r="I104" s="24">
        <f t="shared" si="57"/>
        <v>0.29059829059829062</v>
      </c>
      <c r="J104" s="23">
        <f t="shared" si="57"/>
        <v>0.92592592592592582</v>
      </c>
      <c r="K104" s="25">
        <f t="shared" si="58"/>
        <v>1.2358134101815947</v>
      </c>
      <c r="L104" s="25">
        <f t="shared" si="58"/>
        <v>7.6961041136128436E-2</v>
      </c>
      <c r="M104" s="26">
        <v>1.9163468492578731E-2</v>
      </c>
      <c r="N104" s="26" t="e">
        <v>#N/A</v>
      </c>
      <c r="O104" s="177"/>
      <c r="P104" s="180"/>
      <c r="Q104" s="174"/>
      <c r="R104" s="174"/>
      <c r="S104" s="55"/>
    </row>
    <row r="105" spans="1:19">
      <c r="A105" s="183"/>
      <c r="B105" s="22">
        <v>0.2</v>
      </c>
      <c r="C105" s="22">
        <v>0.2</v>
      </c>
      <c r="D105" s="22">
        <v>0.06</v>
      </c>
      <c r="E105" s="23">
        <v>0.18</v>
      </c>
      <c r="F105" s="23">
        <v>1.1499999999999999</v>
      </c>
      <c r="G105" s="23">
        <v>0.91</v>
      </c>
      <c r="H105" s="27">
        <v>0.14000000000000001</v>
      </c>
      <c r="I105" s="24">
        <f t="shared" si="57"/>
        <v>0.16513761467889906</v>
      </c>
      <c r="J105" s="23">
        <f t="shared" si="57"/>
        <v>0.89147286821705418</v>
      </c>
      <c r="K105" s="25">
        <f t="shared" si="58"/>
        <v>1.8009761243329792</v>
      </c>
      <c r="L105" s="25">
        <f t="shared" si="58"/>
        <v>0.11488027599842214</v>
      </c>
      <c r="M105" s="26">
        <v>0.88360159701477448</v>
      </c>
      <c r="N105" s="26">
        <v>4.5390884879411349E-2</v>
      </c>
      <c r="O105" s="177"/>
      <c r="P105" s="180"/>
      <c r="Q105" s="174"/>
      <c r="R105" s="174"/>
      <c r="S105" s="55"/>
    </row>
    <row r="106" spans="1:19">
      <c r="A106" s="183"/>
      <c r="B106" s="45"/>
      <c r="C106" s="45"/>
      <c r="D106" s="45"/>
      <c r="E106" s="46"/>
      <c r="F106" s="46"/>
      <c r="G106" s="46"/>
      <c r="H106" s="46"/>
      <c r="I106" s="46"/>
      <c r="J106" s="46"/>
      <c r="K106" s="47"/>
      <c r="L106" s="47"/>
      <c r="M106" s="26">
        <v>15.182366327258457</v>
      </c>
      <c r="N106" s="26">
        <v>2</v>
      </c>
      <c r="O106" s="177"/>
      <c r="P106" s="180"/>
      <c r="Q106" s="174"/>
      <c r="R106" s="174"/>
      <c r="S106" s="55"/>
    </row>
    <row r="107" spans="1:19">
      <c r="A107" s="184"/>
      <c r="B107" s="45"/>
      <c r="C107" s="45"/>
      <c r="D107" s="45"/>
      <c r="E107" s="46"/>
      <c r="F107" s="46"/>
      <c r="G107" s="46"/>
      <c r="H107" s="46"/>
      <c r="I107" s="46"/>
      <c r="J107" s="46"/>
      <c r="K107" s="47"/>
      <c r="L107" s="47"/>
      <c r="M107" s="26">
        <v>3.1280721710254991E-2</v>
      </c>
      <c r="N107" s="26">
        <v>4.120664860271947E-3</v>
      </c>
      <c r="O107" s="178"/>
      <c r="P107" s="181"/>
      <c r="Q107" s="175"/>
      <c r="R107" s="175"/>
      <c r="S107" s="76"/>
    </row>
    <row r="108" spans="1:19">
      <c r="A108" s="161" t="s">
        <v>888</v>
      </c>
      <c r="B108" s="118">
        <v>0.2</v>
      </c>
      <c r="C108" s="118">
        <v>0.2</v>
      </c>
      <c r="D108" s="119">
        <v>0.02</v>
      </c>
      <c r="E108" s="120">
        <v>1</v>
      </c>
      <c r="F108" s="120">
        <f>2.03/2</f>
        <v>1.0149999999999999</v>
      </c>
      <c r="G108" s="120">
        <v>2.08</v>
      </c>
      <c r="H108" s="121">
        <v>0.46210000000000001</v>
      </c>
      <c r="I108" s="121">
        <f t="shared" ref="I108:I111" si="59">E108/(E108+G108)</f>
        <v>0.32467532467532467</v>
      </c>
      <c r="J108" s="120">
        <f t="shared" ref="J108:J111" si="60">F108/(F108+H108)</f>
        <v>0.6871572676189831</v>
      </c>
      <c r="K108" s="122">
        <f t="shared" ref="K108:K111" si="61">-LN(I108)</f>
        <v>1.1249295969854831</v>
      </c>
      <c r="L108" s="122">
        <f t="shared" ref="L108:L111" si="62">-LN(J108)</f>
        <v>0.37519209357066646</v>
      </c>
      <c r="M108" s="123" t="e" cm="1">
        <f t="array" ref="M108">LINEST(L108:L111,K108:K111,FALSE,TRUE)</f>
        <v>#VALUE!</v>
      </c>
      <c r="N108" s="123"/>
      <c r="O108" s="164" t="e">
        <f>TINV(0.32,N111)*M109</f>
        <v>#NUM!</v>
      </c>
      <c r="P108" s="167" t="e">
        <f>O108*100/M108</f>
        <v>#NUM!</v>
      </c>
      <c r="Q108" s="170" t="e">
        <f>-1.99*273*LN(M108)/1000</f>
        <v>#VALUE!</v>
      </c>
      <c r="R108" s="170" t="e">
        <f>ABS(1.99*273*O108/M108/1000)</f>
        <v>#NUM!</v>
      </c>
      <c r="S108" s="124"/>
    </row>
    <row r="109" spans="1:19">
      <c r="A109" s="162" t="s">
        <v>821</v>
      </c>
      <c r="B109" s="125">
        <v>0.2</v>
      </c>
      <c r="C109" s="125">
        <v>0.2</v>
      </c>
      <c r="D109" s="126">
        <v>0.04</v>
      </c>
      <c r="E109" s="127">
        <v>1</v>
      </c>
      <c r="F109" s="127"/>
      <c r="G109" s="127"/>
      <c r="H109" s="128"/>
      <c r="I109" s="129">
        <f t="shared" si="59"/>
        <v>1</v>
      </c>
      <c r="J109" s="127" t="e">
        <f t="shared" si="60"/>
        <v>#DIV/0!</v>
      </c>
      <c r="K109" s="130">
        <f t="shared" si="61"/>
        <v>0</v>
      </c>
      <c r="L109" s="130" t="e">
        <f t="shared" si="62"/>
        <v>#DIV/0!</v>
      </c>
      <c r="M109" s="131"/>
      <c r="N109" s="131"/>
      <c r="O109" s="165"/>
      <c r="P109" s="168"/>
      <c r="Q109" s="171"/>
      <c r="R109" s="171"/>
      <c r="S109" s="132"/>
    </row>
    <row r="110" spans="1:19">
      <c r="A110" s="162" t="s">
        <v>822</v>
      </c>
      <c r="B110" s="125">
        <v>0.2</v>
      </c>
      <c r="C110" s="125">
        <v>0.2</v>
      </c>
      <c r="D110" s="125">
        <v>0.06</v>
      </c>
      <c r="E110" s="127">
        <v>1</v>
      </c>
      <c r="F110" s="127"/>
      <c r="G110" s="127"/>
      <c r="H110" s="128"/>
      <c r="I110" s="129">
        <f t="shared" si="59"/>
        <v>1</v>
      </c>
      <c r="J110" s="127" t="e">
        <f t="shared" si="60"/>
        <v>#DIV/0!</v>
      </c>
      <c r="K110" s="130">
        <f t="shared" si="61"/>
        <v>0</v>
      </c>
      <c r="L110" s="130" t="e">
        <f t="shared" si="62"/>
        <v>#DIV/0!</v>
      </c>
      <c r="M110" s="131"/>
      <c r="N110" s="131"/>
      <c r="O110" s="165"/>
      <c r="P110" s="168"/>
      <c r="Q110" s="171"/>
      <c r="R110" s="171"/>
      <c r="S110" s="132"/>
    </row>
    <row r="111" spans="1:19">
      <c r="A111" s="162"/>
      <c r="B111" s="125">
        <v>0.2</v>
      </c>
      <c r="C111" s="125">
        <v>0.2</v>
      </c>
      <c r="D111" s="125">
        <v>0.08</v>
      </c>
      <c r="E111" s="127">
        <v>1</v>
      </c>
      <c r="F111" s="127"/>
      <c r="G111" s="127"/>
      <c r="H111" s="128"/>
      <c r="I111" s="129">
        <f t="shared" si="59"/>
        <v>1</v>
      </c>
      <c r="J111" s="127" t="e">
        <f t="shared" si="60"/>
        <v>#DIV/0!</v>
      </c>
      <c r="K111" s="130">
        <f t="shared" si="61"/>
        <v>0</v>
      </c>
      <c r="L111" s="130" t="e">
        <f t="shared" si="62"/>
        <v>#DIV/0!</v>
      </c>
      <c r="M111" s="131"/>
      <c r="N111" s="131"/>
      <c r="O111" s="165"/>
      <c r="P111" s="168"/>
      <c r="Q111" s="171"/>
      <c r="R111" s="171"/>
      <c r="S111" s="132"/>
    </row>
    <row r="112" spans="1:19">
      <c r="A112" s="163"/>
      <c r="B112" s="133"/>
      <c r="C112" s="133"/>
      <c r="D112" s="133"/>
      <c r="E112" s="134"/>
      <c r="F112" s="134"/>
      <c r="G112" s="134"/>
      <c r="H112" s="134"/>
      <c r="I112" s="134"/>
      <c r="J112" s="134"/>
      <c r="K112" s="135"/>
      <c r="L112" s="135"/>
      <c r="M112" s="131"/>
      <c r="N112" s="131"/>
      <c r="O112" s="166"/>
      <c r="P112" s="169"/>
      <c r="Q112" s="172"/>
      <c r="R112" s="172"/>
      <c r="S112" s="136"/>
    </row>
  </sheetData>
  <mergeCells count="107">
    <mergeCell ref="A86:A90"/>
    <mergeCell ref="A91:A95"/>
    <mergeCell ref="A98:A102"/>
    <mergeCell ref="A71:A75"/>
    <mergeCell ref="A59:A63"/>
    <mergeCell ref="A66:A70"/>
    <mergeCell ref="A47:A51"/>
    <mergeCell ref="A54:A58"/>
    <mergeCell ref="O81:O85"/>
    <mergeCell ref="P81:P85"/>
    <mergeCell ref="P54:P58"/>
    <mergeCell ref="O47:O51"/>
    <mergeCell ref="P47:P51"/>
    <mergeCell ref="O71:O75"/>
    <mergeCell ref="P71:P75"/>
    <mergeCell ref="A76:A80"/>
    <mergeCell ref="A81:A85"/>
    <mergeCell ref="Q1:R1"/>
    <mergeCell ref="B1:D1"/>
    <mergeCell ref="E1:H1"/>
    <mergeCell ref="I1:J1"/>
    <mergeCell ref="K1:L1"/>
    <mergeCell ref="O3:O7"/>
    <mergeCell ref="P3:P7"/>
    <mergeCell ref="Q3:Q7"/>
    <mergeCell ref="R3:R7"/>
    <mergeCell ref="M2:N2"/>
    <mergeCell ref="O1:P1"/>
    <mergeCell ref="Q71:Q75"/>
    <mergeCell ref="R71:R75"/>
    <mergeCell ref="Q54:Q58"/>
    <mergeCell ref="R54:R58"/>
    <mergeCell ref="Q47:Q51"/>
    <mergeCell ref="R47:R51"/>
    <mergeCell ref="A3:A7"/>
    <mergeCell ref="A8:A12"/>
    <mergeCell ref="A37:A41"/>
    <mergeCell ref="A42:A46"/>
    <mergeCell ref="O8:O12"/>
    <mergeCell ref="P8:P12"/>
    <mergeCell ref="Q8:Q12"/>
    <mergeCell ref="R8:R12"/>
    <mergeCell ref="O37:O41"/>
    <mergeCell ref="P37:P41"/>
    <mergeCell ref="Q37:Q41"/>
    <mergeCell ref="R37:R41"/>
    <mergeCell ref="O42:O46"/>
    <mergeCell ref="P42:P46"/>
    <mergeCell ref="Q42:Q46"/>
    <mergeCell ref="R91:R95"/>
    <mergeCell ref="O98:O102"/>
    <mergeCell ref="P98:P102"/>
    <mergeCell ref="Q98:Q102"/>
    <mergeCell ref="R98:R102"/>
    <mergeCell ref="A103:A107"/>
    <mergeCell ref="O103:O107"/>
    <mergeCell ref="P103:P107"/>
    <mergeCell ref="R42:R46"/>
    <mergeCell ref="O54:O58"/>
    <mergeCell ref="Q81:Q85"/>
    <mergeCell ref="R81:R85"/>
    <mergeCell ref="O59:O63"/>
    <mergeCell ref="P59:P63"/>
    <mergeCell ref="Q59:Q63"/>
    <mergeCell ref="R59:R63"/>
    <mergeCell ref="O66:O70"/>
    <mergeCell ref="P66:P70"/>
    <mergeCell ref="Q66:Q70"/>
    <mergeCell ref="R66:R70"/>
    <mergeCell ref="O76:O80"/>
    <mergeCell ref="P76:P80"/>
    <mergeCell ref="Q76:Q80"/>
    <mergeCell ref="R76:R80"/>
    <mergeCell ref="A13:A17"/>
    <mergeCell ref="O13:O17"/>
    <mergeCell ref="P13:P17"/>
    <mergeCell ref="Q13:Q17"/>
    <mergeCell ref="R13:R17"/>
    <mergeCell ref="A25:A29"/>
    <mergeCell ref="O25:O29"/>
    <mergeCell ref="P25:P29"/>
    <mergeCell ref="Q25:Q29"/>
    <mergeCell ref="R25:R29"/>
    <mergeCell ref="A108:A112"/>
    <mergeCell ref="O108:O112"/>
    <mergeCell ref="P108:P112"/>
    <mergeCell ref="Q108:Q112"/>
    <mergeCell ref="R108:R112"/>
    <mergeCell ref="A18:A22"/>
    <mergeCell ref="O18:O22"/>
    <mergeCell ref="P18:P22"/>
    <mergeCell ref="Q18:Q22"/>
    <mergeCell ref="R18:R22"/>
    <mergeCell ref="A30:A34"/>
    <mergeCell ref="O30:O34"/>
    <mergeCell ref="P30:P34"/>
    <mergeCell ref="Q30:Q34"/>
    <mergeCell ref="R30:R34"/>
    <mergeCell ref="Q103:Q107"/>
    <mergeCell ref="R103:R107"/>
    <mergeCell ref="O86:O90"/>
    <mergeCell ref="P86:P90"/>
    <mergeCell ref="Q86:Q90"/>
    <mergeCell ref="R86:R90"/>
    <mergeCell ref="O91:O95"/>
    <mergeCell ref="P91:P95"/>
    <mergeCell ref="Q91:Q95"/>
  </mergeCells>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1470-8DB8-4DB3-8AFE-21BC38E083E1}">
  <dimension ref="A1:AF371"/>
  <sheetViews>
    <sheetView zoomScale="71" zoomScaleNormal="52" workbookViewId="0">
      <pane xSplit="1" ySplit="2" topLeftCell="B190" activePane="bottomRight" state="frozen"/>
      <selection pane="topRight" activeCell="B1" sqref="B1"/>
      <selection pane="bottomLeft" activeCell="A4" sqref="A4"/>
      <selection pane="bottomRight" activeCell="A357" sqref="A357:A361"/>
    </sheetView>
  </sheetViews>
  <sheetFormatPr baseColWidth="10" defaultColWidth="9" defaultRowHeight="13"/>
  <cols>
    <col min="1" max="1" width="31.5" style="86" bestFit="1" customWidth="1"/>
    <col min="2" max="3" width="10" style="15" bestFit="1" customWidth="1"/>
    <col min="4" max="4" width="9.6640625" style="15" customWidth="1"/>
    <col min="5" max="5" width="10" style="27" bestFit="1" customWidth="1"/>
    <col min="6" max="6" width="9.83203125" style="27" bestFit="1" customWidth="1"/>
    <col min="7" max="7" width="8.33203125" style="27" bestFit="1" customWidth="1"/>
    <col min="8" max="8" width="7.1640625" style="27" bestFit="1" customWidth="1"/>
    <col min="9" max="10" width="10" style="27" bestFit="1" customWidth="1"/>
    <col min="11" max="12" width="10" style="51" bestFit="1" customWidth="1"/>
    <col min="13" max="13" width="11.33203125" style="51" bestFit="1" customWidth="1"/>
    <col min="14" max="14" width="9.1640625" style="51" bestFit="1" customWidth="1"/>
    <col min="15" max="15" width="11.33203125" style="13" bestFit="1" customWidth="1"/>
    <col min="16" max="16" width="11.33203125" style="14" bestFit="1" customWidth="1"/>
    <col min="17" max="17" width="11.6640625" style="15" bestFit="1" customWidth="1"/>
    <col min="18" max="18" width="10.33203125" style="15" bestFit="1" customWidth="1"/>
    <col min="19" max="16384" width="9" style="1"/>
  </cols>
  <sheetData>
    <row r="1" spans="1:32" s="86" customFormat="1" ht="15">
      <c r="B1" s="159" t="s">
        <v>703</v>
      </c>
      <c r="C1" s="159"/>
      <c r="D1" s="159"/>
      <c r="E1" s="160" t="s">
        <v>704</v>
      </c>
      <c r="F1" s="160"/>
      <c r="G1" s="160"/>
      <c r="H1" s="160"/>
      <c r="I1" s="186"/>
      <c r="J1" s="186"/>
      <c r="K1" s="187"/>
      <c r="L1" s="187"/>
      <c r="O1" s="159" t="s">
        <v>705</v>
      </c>
      <c r="P1" s="159"/>
      <c r="Q1" s="159" t="s">
        <v>706</v>
      </c>
      <c r="R1" s="159"/>
      <c r="S1" s="86" t="s">
        <v>721</v>
      </c>
    </row>
    <row r="2" spans="1:32" s="101" customFormat="1" ht="15">
      <c r="A2" s="90" t="s">
        <v>707</v>
      </c>
      <c r="B2" s="95" t="s">
        <v>708</v>
      </c>
      <c r="C2" s="95" t="s">
        <v>707</v>
      </c>
      <c r="D2" s="95" t="s">
        <v>709</v>
      </c>
      <c r="E2" s="96" t="s">
        <v>708</v>
      </c>
      <c r="F2" s="96" t="s">
        <v>707</v>
      </c>
      <c r="G2" s="96" t="s">
        <v>710</v>
      </c>
      <c r="H2" s="96" t="s">
        <v>711</v>
      </c>
      <c r="I2" s="96" t="s">
        <v>712</v>
      </c>
      <c r="J2" s="96" t="s">
        <v>713</v>
      </c>
      <c r="K2" s="97" t="s">
        <v>714</v>
      </c>
      <c r="L2" s="97" t="s">
        <v>715</v>
      </c>
      <c r="M2" s="191" t="s">
        <v>716</v>
      </c>
      <c r="N2" s="191"/>
      <c r="O2" s="98" t="s">
        <v>717</v>
      </c>
      <c r="P2" s="99" t="s">
        <v>718</v>
      </c>
      <c r="Q2" s="100" t="s">
        <v>719</v>
      </c>
      <c r="R2" s="100" t="s">
        <v>720</v>
      </c>
    </row>
    <row r="3" spans="1:32">
      <c r="A3" s="185" t="s">
        <v>725</v>
      </c>
      <c r="B3" s="22">
        <v>0.2</v>
      </c>
      <c r="C3" s="22">
        <v>0.2</v>
      </c>
      <c r="D3" s="18">
        <v>0.04</v>
      </c>
      <c r="E3" s="23">
        <v>1</v>
      </c>
      <c r="F3" s="23">
        <v>0.68</v>
      </c>
      <c r="G3" s="23">
        <v>0</v>
      </c>
      <c r="H3" s="27">
        <v>0.08</v>
      </c>
      <c r="I3" s="24">
        <f t="shared" ref="I3:J5" si="0">E3/(E3+G3)</f>
        <v>1</v>
      </c>
      <c r="J3" s="23">
        <f t="shared" si="0"/>
        <v>0.89473684210526316</v>
      </c>
      <c r="K3" s="25">
        <f>-LN(I3)</f>
        <v>0</v>
      </c>
      <c r="L3" s="25">
        <f t="shared" ref="L3:L5" si="1">-LN(J3)</f>
        <v>0.11122563511022437</v>
      </c>
      <c r="M3" s="26" cm="1">
        <f t="array" ref="M3:N7">LINEST(L3:L5,K3:K5,FALSE,TRUE)</f>
        <v>101.58147607981331</v>
      </c>
      <c r="N3" s="26">
        <v>0</v>
      </c>
      <c r="O3" s="177">
        <f>TINV(0.32,N6)*M4</f>
        <v>17.701173771327017</v>
      </c>
      <c r="P3" s="180">
        <f>O3*100/M3</f>
        <v>17.425592198935043</v>
      </c>
      <c r="Q3" s="174">
        <f>-1.99*273*LN(M3)/1000</f>
        <v>-2.5103752622076771</v>
      </c>
      <c r="R3" s="174">
        <f>ABS(1.99*273*O3/M3/1000)</f>
        <v>9.4668014739154399E-2</v>
      </c>
      <c r="S3" s="47"/>
    </row>
    <row r="4" spans="1:32">
      <c r="A4" s="183"/>
      <c r="B4" s="22">
        <v>0.2</v>
      </c>
      <c r="C4" s="22">
        <v>0.2</v>
      </c>
      <c r="D4" s="15">
        <v>0.08</v>
      </c>
      <c r="E4" s="23">
        <v>1</v>
      </c>
      <c r="F4" s="23">
        <v>0.74</v>
      </c>
      <c r="G4" s="23">
        <v>3.0000000000000001E-3</v>
      </c>
      <c r="H4" s="24">
        <v>0.46</v>
      </c>
      <c r="I4" s="24">
        <f t="shared" si="0"/>
        <v>0.99700897308075787</v>
      </c>
      <c r="J4" s="23">
        <f t="shared" si="0"/>
        <v>0.6166666666666667</v>
      </c>
      <c r="K4" s="25">
        <f>-LN(I4)</f>
        <v>2.9955089797983397E-3</v>
      </c>
      <c r="L4" s="25">
        <f t="shared" si="1"/>
        <v>0.48342664957787618</v>
      </c>
      <c r="M4" s="26">
        <v>13.496084384638676</v>
      </c>
      <c r="N4" s="26" t="e">
        <v>#N/A</v>
      </c>
      <c r="O4" s="177"/>
      <c r="P4" s="180"/>
      <c r="Q4" s="174"/>
      <c r="R4" s="174"/>
      <c r="S4" s="47"/>
    </row>
    <row r="5" spans="1:32">
      <c r="A5" s="183"/>
      <c r="B5" s="22">
        <v>0.2</v>
      </c>
      <c r="C5" s="22">
        <v>0.2</v>
      </c>
      <c r="D5" s="22">
        <v>0.12</v>
      </c>
      <c r="E5" s="23">
        <v>1</v>
      </c>
      <c r="F5" s="23">
        <v>0.28000000000000003</v>
      </c>
      <c r="G5" s="23">
        <v>1.0999999999999999E-2</v>
      </c>
      <c r="H5" s="27">
        <v>0.53</v>
      </c>
      <c r="I5" s="24">
        <f t="shared" si="0"/>
        <v>0.98911968348170143</v>
      </c>
      <c r="J5" s="23">
        <f t="shared" si="0"/>
        <v>0.34567901234567905</v>
      </c>
      <c r="K5" s="25">
        <f>-LN(I5)</f>
        <v>1.093994003833422E-2</v>
      </c>
      <c r="L5" s="25">
        <f t="shared" si="1"/>
        <v>1.0622446444972347</v>
      </c>
      <c r="M5" s="26">
        <v>0.96590043120803393</v>
      </c>
      <c r="N5" s="26">
        <v>0.15308115514620982</v>
      </c>
      <c r="O5" s="177"/>
      <c r="P5" s="180"/>
      <c r="Q5" s="174"/>
      <c r="R5" s="174"/>
      <c r="S5" s="47"/>
    </row>
    <row r="6" spans="1:32">
      <c r="A6" s="183"/>
      <c r="B6" s="45"/>
      <c r="C6" s="45"/>
      <c r="D6" s="45"/>
      <c r="E6" s="46"/>
      <c r="F6" s="46"/>
      <c r="G6" s="46"/>
      <c r="H6" s="46"/>
      <c r="I6" s="46"/>
      <c r="J6" s="46"/>
      <c r="K6" s="47"/>
      <c r="L6" s="47"/>
      <c r="M6" s="26">
        <v>56.651768067847478</v>
      </c>
      <c r="N6" s="26">
        <v>2</v>
      </c>
      <c r="O6" s="177"/>
      <c r="P6" s="180"/>
      <c r="Q6" s="174"/>
      <c r="R6" s="174"/>
      <c r="S6" s="47"/>
    </row>
    <row r="7" spans="1:32">
      <c r="A7" s="184"/>
      <c r="B7" s="42"/>
      <c r="C7" s="42"/>
      <c r="D7" s="42"/>
      <c r="E7" s="43"/>
      <c r="F7" s="43"/>
      <c r="G7" s="43"/>
      <c r="H7" s="43"/>
      <c r="I7" s="43"/>
      <c r="J7" s="43"/>
      <c r="K7" s="44"/>
      <c r="L7" s="44"/>
      <c r="M7" s="26">
        <v>1.327568472069024</v>
      </c>
      <c r="N7" s="26">
        <v>4.6867680121795915E-2</v>
      </c>
      <c r="O7" s="178"/>
      <c r="P7" s="181"/>
      <c r="Q7" s="175"/>
      <c r="R7" s="175"/>
      <c r="S7" s="44"/>
    </row>
    <row r="8" spans="1:32" s="19" customFormat="1" ht="14">
      <c r="A8" s="182" t="s">
        <v>743</v>
      </c>
      <c r="B8" s="30">
        <v>0.2</v>
      </c>
      <c r="C8" s="30">
        <v>0.2</v>
      </c>
      <c r="D8" s="18">
        <v>0.04</v>
      </c>
      <c r="E8" s="31">
        <v>1</v>
      </c>
      <c r="F8" s="31">
        <v>0.68600000000000005</v>
      </c>
      <c r="G8" s="31">
        <v>4.0000000000000001E-3</v>
      </c>
      <c r="H8" s="32">
        <v>0.34099999999999997</v>
      </c>
      <c r="I8" s="32">
        <f t="shared" ref="I8:J10" si="2">E8/(E8+G8)</f>
        <v>0.99601593625498008</v>
      </c>
      <c r="J8" s="31">
        <f t="shared" si="2"/>
        <v>0.66796494644595905</v>
      </c>
      <c r="K8" s="33">
        <f t="shared" ref="K8:L10" si="3">-LN(I8)</f>
        <v>3.9920212695374498E-3</v>
      </c>
      <c r="L8" s="33">
        <f t="shared" si="3"/>
        <v>0.40351958220267309</v>
      </c>
      <c r="M8" s="34" cm="1">
        <f t="array" ref="M8:N12">LINEST(L8:L10,K8:K10,FALSE,TRUE)</f>
        <v>67.530816619849105</v>
      </c>
      <c r="N8" s="34">
        <v>0</v>
      </c>
      <c r="O8" s="177">
        <f>TINV(0.32,N11)*M9</f>
        <v>2.4844323003773985</v>
      </c>
      <c r="P8" s="179">
        <f>O8*100/M8</f>
        <v>3.6789608429630003</v>
      </c>
      <c r="Q8" s="173">
        <f>-1.99*273*LN(M8)/1000</f>
        <v>-2.2885705293523175</v>
      </c>
      <c r="R8" s="173">
        <f>ABS(1.99*273*O8/M8/1000)</f>
        <v>1.9986690571565092E-2</v>
      </c>
      <c r="S8" s="73"/>
    </row>
    <row r="9" spans="1:32" ht="14">
      <c r="A9" s="183"/>
      <c r="B9" s="22">
        <v>0.2</v>
      </c>
      <c r="C9" s="22">
        <v>0.2</v>
      </c>
      <c r="D9" s="15">
        <v>0.08</v>
      </c>
      <c r="E9" s="23">
        <v>1</v>
      </c>
      <c r="F9" s="23">
        <v>0.14899999999999999</v>
      </c>
      <c r="G9" s="23">
        <v>0.03</v>
      </c>
      <c r="H9" s="27">
        <v>0.86</v>
      </c>
      <c r="I9" s="24">
        <f t="shared" si="2"/>
        <v>0.970873786407767</v>
      </c>
      <c r="J9" s="23">
        <f t="shared" si="2"/>
        <v>0.1476709613478692</v>
      </c>
      <c r="K9" s="25">
        <f t="shared" si="3"/>
        <v>2.9558802241544391E-2</v>
      </c>
      <c r="L9" s="25">
        <f t="shared" si="3"/>
        <v>1.9127687144081498</v>
      </c>
      <c r="M9" s="26">
        <v>1.8942307672346903</v>
      </c>
      <c r="N9" s="26" t="e">
        <v>#N/A</v>
      </c>
      <c r="O9" s="177"/>
      <c r="P9" s="180"/>
      <c r="Q9" s="174"/>
      <c r="R9" s="174"/>
      <c r="S9" s="74"/>
      <c r="T9" s="15"/>
      <c r="U9" s="15"/>
      <c r="V9" s="27"/>
      <c r="W9" s="27"/>
      <c r="X9" s="27"/>
      <c r="Y9" s="27"/>
      <c r="Z9" s="27"/>
      <c r="AA9" s="27"/>
      <c r="AB9" s="51"/>
      <c r="AC9" s="51"/>
      <c r="AD9" s="21"/>
      <c r="AE9" s="15"/>
      <c r="AF9" s="15"/>
    </row>
    <row r="10" spans="1:32">
      <c r="A10" s="183"/>
      <c r="B10" s="22">
        <v>0.2</v>
      </c>
      <c r="C10" s="22">
        <v>0.2</v>
      </c>
      <c r="D10" s="22">
        <v>0.12</v>
      </c>
      <c r="E10" s="23">
        <v>1</v>
      </c>
      <c r="F10" s="23">
        <v>2.9000000000000001E-2</v>
      </c>
      <c r="G10" s="23">
        <v>5.3999999999999999E-2</v>
      </c>
      <c r="H10" s="27">
        <v>1.02</v>
      </c>
      <c r="I10" s="24">
        <f t="shared" si="2"/>
        <v>0.94876660341555974</v>
      </c>
      <c r="J10" s="23">
        <f t="shared" si="2"/>
        <v>2.764537654909438E-2</v>
      </c>
      <c r="K10" s="25">
        <f t="shared" si="3"/>
        <v>5.2592450119170617E-2</v>
      </c>
      <c r="L10" s="25">
        <f t="shared" si="3"/>
        <v>3.588296778409823</v>
      </c>
      <c r="M10" s="26">
        <v>0.99842888165041244</v>
      </c>
      <c r="N10" s="26">
        <v>0.1145285324715242</v>
      </c>
      <c r="O10" s="177"/>
      <c r="P10" s="180"/>
      <c r="Q10" s="174"/>
      <c r="R10" s="174"/>
      <c r="S10" s="55"/>
      <c r="T10" s="15"/>
      <c r="U10" s="15"/>
      <c r="V10" s="27"/>
      <c r="W10" s="27"/>
      <c r="X10" s="27"/>
      <c r="Y10" s="27"/>
      <c r="Z10" s="27"/>
      <c r="AA10" s="27"/>
      <c r="AB10" s="51"/>
      <c r="AC10" s="51"/>
      <c r="AD10" s="21"/>
      <c r="AE10" s="15"/>
      <c r="AF10" s="15"/>
    </row>
    <row r="11" spans="1:32">
      <c r="A11" s="183"/>
      <c r="B11" s="55"/>
      <c r="C11" s="55"/>
      <c r="D11" s="55"/>
      <c r="E11" s="55"/>
      <c r="F11" s="55"/>
      <c r="G11" s="55"/>
      <c r="H11" s="55"/>
      <c r="I11" s="55"/>
      <c r="J11" s="55"/>
      <c r="K11" s="55"/>
      <c r="L11" s="55"/>
      <c r="M11" s="26">
        <v>1270.9785763910525</v>
      </c>
      <c r="N11" s="26">
        <v>2</v>
      </c>
      <c r="O11" s="177"/>
      <c r="P11" s="180"/>
      <c r="Q11" s="174"/>
      <c r="R11" s="174"/>
      <c r="S11" s="55"/>
      <c r="T11" s="15"/>
      <c r="U11" s="15"/>
      <c r="V11" s="27"/>
      <c r="W11" s="27"/>
      <c r="X11" s="27"/>
      <c r="Y11" s="27"/>
      <c r="Z11" s="27"/>
      <c r="AA11" s="27"/>
      <c r="AB11" s="51"/>
      <c r="AC11" s="51"/>
      <c r="AD11" s="21"/>
      <c r="AE11" s="15"/>
      <c r="AF11" s="15"/>
    </row>
    <row r="12" spans="1:32">
      <c r="A12" s="183"/>
      <c r="B12" s="45"/>
      <c r="C12" s="45"/>
      <c r="D12" s="45"/>
      <c r="E12" s="46"/>
      <c r="F12" s="46"/>
      <c r="G12" s="46"/>
      <c r="H12" s="46"/>
      <c r="I12" s="46"/>
      <c r="J12" s="46"/>
      <c r="K12" s="47"/>
      <c r="L12" s="47"/>
      <c r="M12" s="26">
        <v>16.671152408485781</v>
      </c>
      <c r="N12" s="26">
        <v>2.6233569500161945E-2</v>
      </c>
      <c r="O12" s="177"/>
      <c r="P12" s="180"/>
      <c r="Q12" s="194"/>
      <c r="R12" s="174"/>
      <c r="S12" s="55"/>
      <c r="T12" s="15"/>
      <c r="U12" s="15"/>
      <c r="V12" s="27"/>
      <c r="W12" s="27"/>
      <c r="X12" s="27"/>
      <c r="Y12" s="27"/>
      <c r="Z12" s="27"/>
      <c r="AA12" s="27"/>
      <c r="AB12" s="51"/>
      <c r="AC12" s="51"/>
      <c r="AD12" s="21"/>
      <c r="AE12" s="15"/>
      <c r="AF12" s="15"/>
    </row>
    <row r="13" spans="1:32" s="38" customFormat="1">
      <c r="A13" s="92" t="s">
        <v>727</v>
      </c>
      <c r="B13" s="35"/>
      <c r="C13" s="35"/>
      <c r="D13" s="35"/>
      <c r="E13" s="36"/>
      <c r="F13" s="36"/>
      <c r="G13" s="36"/>
      <c r="H13" s="36"/>
      <c r="I13" s="36"/>
      <c r="J13" s="36"/>
      <c r="K13" s="37"/>
      <c r="L13" s="37"/>
      <c r="M13" s="52">
        <f>M8*2*0.84/(0.18+0.84)</f>
        <v>111.22722737386911</v>
      </c>
      <c r="N13" s="54"/>
      <c r="O13" s="39">
        <f>O8*2*0.84/(0.18+0.84)</f>
        <v>4.092006141798068</v>
      </c>
      <c r="P13" s="40">
        <f>O8*100/M8</f>
        <v>3.6789608429630003</v>
      </c>
      <c r="Q13" s="15">
        <f>-1.99*273*LN(M13)/1000</f>
        <v>-2.5596574601697801</v>
      </c>
      <c r="R13" s="41">
        <f>ABS(1.99*273*O13/M13/1000)</f>
        <v>1.9986690571565092E-2</v>
      </c>
      <c r="S13" s="75"/>
      <c r="T13" s="41"/>
      <c r="U13" s="41"/>
      <c r="V13" s="56"/>
      <c r="W13" s="56"/>
      <c r="X13" s="56"/>
      <c r="Y13" s="56"/>
      <c r="Z13" s="56"/>
      <c r="AA13" s="56"/>
      <c r="AB13" s="57"/>
      <c r="AC13" s="57"/>
      <c r="AD13" s="59"/>
      <c r="AE13" s="41"/>
      <c r="AF13" s="41"/>
    </row>
    <row r="14" spans="1:32">
      <c r="A14" s="91" t="s">
        <v>728</v>
      </c>
      <c r="B14" s="45"/>
      <c r="C14" s="45"/>
      <c r="D14" s="45"/>
      <c r="E14" s="43"/>
      <c r="F14" s="43"/>
      <c r="G14" s="43"/>
      <c r="H14" s="46"/>
      <c r="I14" s="43"/>
      <c r="J14" s="43"/>
      <c r="K14" s="44"/>
      <c r="L14" s="44"/>
      <c r="M14" s="60">
        <f>M8*2*0.18/(0.18+0.84)</f>
        <v>23.834405865829098</v>
      </c>
      <c r="N14" s="53"/>
      <c r="O14" s="13">
        <f>O8*2*0.18/(0.18+0.84)</f>
        <v>0.87685845895672876</v>
      </c>
      <c r="P14" s="14">
        <f>O8*100/M8</f>
        <v>3.6789608429630003</v>
      </c>
      <c r="Q14" s="15">
        <f>-1.99*273*LN(M14)/1000</f>
        <v>-1.7227798827744227</v>
      </c>
      <c r="R14" s="15">
        <f>ABS(1.99*273*O14/M14/1000)</f>
        <v>1.9986690571565085E-2</v>
      </c>
      <c r="S14" s="76"/>
      <c r="T14" s="15"/>
      <c r="U14" s="15"/>
      <c r="V14" s="27"/>
      <c r="W14" s="27"/>
      <c r="X14" s="27"/>
      <c r="Y14" s="27"/>
      <c r="Z14" s="27"/>
      <c r="AA14" s="27"/>
      <c r="AB14" s="51"/>
      <c r="AC14" s="51"/>
      <c r="AD14" s="21"/>
      <c r="AE14" s="15"/>
      <c r="AF14" s="15"/>
    </row>
    <row r="15" spans="1:32" s="19" customFormat="1">
      <c r="A15" s="182" t="s">
        <v>744</v>
      </c>
      <c r="B15" s="30">
        <v>0.2</v>
      </c>
      <c r="C15" s="30">
        <v>0.2</v>
      </c>
      <c r="D15" s="18">
        <v>0.04</v>
      </c>
      <c r="E15" s="31">
        <v>1</v>
      </c>
      <c r="F15" s="31">
        <v>0.4</v>
      </c>
      <c r="G15" s="31">
        <v>8.0000000000000002E-3</v>
      </c>
      <c r="H15" s="32">
        <v>0.35</v>
      </c>
      <c r="I15" s="32">
        <f>E15/(E15+G15)</f>
        <v>0.99206349206349209</v>
      </c>
      <c r="J15" s="31">
        <f>F15/(F15+H15)</f>
        <v>0.53333333333333333</v>
      </c>
      <c r="K15" s="33">
        <f>-LN(I15)</f>
        <v>7.9681696491768449E-3</v>
      </c>
      <c r="L15" s="33">
        <f>-LN(J15)</f>
        <v>0.62860865942237421</v>
      </c>
      <c r="M15" s="34" cm="1">
        <f t="array" ref="M15:N19">LINEST(L15:L16,K15:K16,FALSE,TRUE)</f>
        <v>64.86068864395078</v>
      </c>
      <c r="N15" s="34">
        <v>0</v>
      </c>
      <c r="O15" s="176">
        <f>TINV(0.32,N18)*M16</f>
        <v>6.8792046881522522</v>
      </c>
      <c r="P15" s="179">
        <f>O15*100/M15</f>
        <v>10.60612341924902</v>
      </c>
      <c r="Q15" s="173">
        <f>-1.99*273*LN(M15)/1000</f>
        <v>-2.2666537582537685</v>
      </c>
      <c r="R15" s="173">
        <f>ABS(1.99*273*O15/M15/1000)</f>
        <v>5.7619886699754139E-2</v>
      </c>
      <c r="S15" s="77"/>
      <c r="T15" s="18"/>
      <c r="U15" s="18"/>
      <c r="V15" s="49"/>
      <c r="W15" s="49"/>
      <c r="X15" s="49"/>
      <c r="Y15" s="49"/>
      <c r="Z15" s="49"/>
      <c r="AA15" s="49"/>
      <c r="AB15" s="50"/>
      <c r="AC15" s="50"/>
      <c r="AD15" s="20"/>
      <c r="AE15" s="18"/>
      <c r="AF15" s="18"/>
    </row>
    <row r="16" spans="1:32">
      <c r="A16" s="183"/>
      <c r="B16" s="22">
        <v>0.2</v>
      </c>
      <c r="C16" s="22">
        <v>0.2</v>
      </c>
      <c r="D16" s="15">
        <v>0.08</v>
      </c>
      <c r="E16" s="23">
        <v>1</v>
      </c>
      <c r="F16" s="23">
        <v>0.125</v>
      </c>
      <c r="G16" s="23">
        <v>0.03</v>
      </c>
      <c r="H16" s="27">
        <v>0.7</v>
      </c>
      <c r="I16" s="24">
        <f>E16/(E16+G16)</f>
        <v>0.970873786407767</v>
      </c>
      <c r="J16" s="23">
        <f>F16/(F16+H16)</f>
        <v>0.15151515151515152</v>
      </c>
      <c r="K16" s="25">
        <f>-LN(I16)</f>
        <v>2.9558802241544391E-2</v>
      </c>
      <c r="L16" s="25">
        <f>-LN(J16)</f>
        <v>1.8870696490323797</v>
      </c>
      <c r="M16" s="26">
        <v>3.7818747806980149</v>
      </c>
      <c r="N16" s="26" t="e">
        <v>#N/A</v>
      </c>
      <c r="O16" s="177"/>
      <c r="P16" s="180"/>
      <c r="Q16" s="174"/>
      <c r="R16" s="174"/>
      <c r="S16" s="55"/>
      <c r="T16" s="15"/>
      <c r="U16" s="15"/>
      <c r="V16" s="27"/>
      <c r="W16" s="27"/>
      <c r="X16" s="27"/>
      <c r="Y16" s="27"/>
      <c r="Z16" s="27"/>
      <c r="AA16" s="27"/>
      <c r="AB16" s="51"/>
      <c r="AC16" s="51"/>
      <c r="AD16" s="21"/>
      <c r="AE16" s="15"/>
      <c r="AF16" s="15"/>
    </row>
    <row r="17" spans="1:32">
      <c r="A17" s="183"/>
      <c r="B17" s="55"/>
      <c r="C17" s="55"/>
      <c r="D17" s="55"/>
      <c r="E17" s="55"/>
      <c r="F17" s="55"/>
      <c r="G17" s="55"/>
      <c r="H17" s="55"/>
      <c r="I17" s="55"/>
      <c r="J17" s="55"/>
      <c r="K17" s="55"/>
      <c r="L17" s="55"/>
      <c r="M17" s="26">
        <v>0.99661173650526313</v>
      </c>
      <c r="N17" s="26">
        <v>0.11577816144726993</v>
      </c>
      <c r="O17" s="177"/>
      <c r="P17" s="180"/>
      <c r="Q17" s="174"/>
      <c r="R17" s="174"/>
      <c r="S17" s="55"/>
      <c r="T17" s="15"/>
      <c r="U17" s="15"/>
      <c r="V17" s="27"/>
      <c r="W17" s="27"/>
      <c r="X17" s="27"/>
      <c r="Y17" s="27"/>
      <c r="Z17" s="27"/>
      <c r="AA17" s="27"/>
      <c r="AB17" s="51"/>
      <c r="AC17" s="51"/>
      <c r="AD17" s="21"/>
      <c r="AE17" s="15"/>
      <c r="AF17" s="15"/>
    </row>
    <row r="18" spans="1:32">
      <c r="A18" s="183"/>
      <c r="B18" s="61"/>
      <c r="C18" s="61"/>
      <c r="D18" s="61"/>
      <c r="E18" s="62"/>
      <c r="F18" s="62"/>
      <c r="G18" s="62"/>
      <c r="H18" s="46"/>
      <c r="I18" s="63"/>
      <c r="J18" s="62"/>
      <c r="K18" s="64"/>
      <c r="L18" s="64"/>
      <c r="M18" s="26">
        <v>294.13643243902351</v>
      </c>
      <c r="N18" s="26">
        <v>1</v>
      </c>
      <c r="O18" s="177"/>
      <c r="P18" s="180"/>
      <c r="Q18" s="174"/>
      <c r="R18" s="174"/>
      <c r="S18" s="55"/>
    </row>
    <row r="19" spans="1:32">
      <c r="A19" s="196"/>
      <c r="B19" s="45"/>
      <c r="C19" s="45"/>
      <c r="D19" s="45"/>
      <c r="E19" s="46"/>
      <c r="F19" s="46"/>
      <c r="G19" s="46"/>
      <c r="H19" s="46"/>
      <c r="I19" s="46"/>
      <c r="J19" s="46"/>
      <c r="K19" s="47"/>
      <c r="L19" s="47"/>
      <c r="M19" s="26">
        <v>3.9427761243318726</v>
      </c>
      <c r="N19" s="26">
        <v>1.3404582668110102E-2</v>
      </c>
      <c r="O19" s="177"/>
      <c r="P19" s="180"/>
      <c r="Q19" s="194"/>
      <c r="R19" s="174"/>
      <c r="S19" s="55"/>
    </row>
    <row r="20" spans="1:32" s="38" customFormat="1">
      <c r="A20" s="102" t="s">
        <v>745</v>
      </c>
      <c r="B20" s="35"/>
      <c r="C20" s="35"/>
      <c r="D20" s="35"/>
      <c r="E20" s="36"/>
      <c r="F20" s="36"/>
      <c r="G20" s="36"/>
      <c r="H20" s="36"/>
      <c r="I20" s="36"/>
      <c r="J20" s="36"/>
      <c r="K20" s="37"/>
      <c r="L20" s="37"/>
      <c r="M20" s="52">
        <f>M15*2*0.57/(0.13+0.57)</f>
        <v>105.63026436300555</v>
      </c>
      <c r="N20" s="54"/>
      <c r="O20" s="39">
        <f>O15*2*0.57/(0.13+0.57)</f>
        <v>11.203276206419382</v>
      </c>
      <c r="P20" s="40">
        <f>O15*100/M15</f>
        <v>10.60612341924902</v>
      </c>
      <c r="Q20" s="41">
        <f>-1.99*273*LN(M20)/1000</f>
        <v>-2.5316082791648906</v>
      </c>
      <c r="R20" s="41">
        <f>ABS(1.99*273*O20/M20/1000)</f>
        <v>5.7619886699754139E-2</v>
      </c>
      <c r="S20" s="75"/>
    </row>
    <row r="21" spans="1:32">
      <c r="A21" s="86" t="s">
        <v>746</v>
      </c>
      <c r="B21" s="45"/>
      <c r="C21" s="45"/>
      <c r="D21" s="45"/>
      <c r="E21" s="46"/>
      <c r="F21" s="46"/>
      <c r="G21" s="46"/>
      <c r="H21" s="46"/>
      <c r="I21" s="46"/>
      <c r="J21" s="46"/>
      <c r="K21" s="47"/>
      <c r="L21" s="47"/>
      <c r="M21" s="26">
        <f>M15*2*0.13/(0.13+0.57)</f>
        <v>24.091112924896009</v>
      </c>
      <c r="N21" s="53"/>
      <c r="O21" s="13">
        <f>O15*2*0.13/(0.13+0.57)</f>
        <v>2.5551331698851225</v>
      </c>
      <c r="P21" s="14">
        <f>O15*100/M15</f>
        <v>10.60612341924902</v>
      </c>
      <c r="Q21" s="15">
        <f>-1.99*273*LN(M21)/1000</f>
        <v>-1.7285998543165437</v>
      </c>
      <c r="R21" s="15">
        <f>ABS(1.99*273*O21/M21/1000)</f>
        <v>5.7619886699754125E-2</v>
      </c>
      <c r="S21" s="55"/>
    </row>
    <row r="22" spans="1:32" s="19" customFormat="1">
      <c r="A22" s="182" t="s">
        <v>724</v>
      </c>
      <c r="B22" s="30">
        <v>0.2</v>
      </c>
      <c r="C22" s="30">
        <v>0.2</v>
      </c>
      <c r="D22" s="18">
        <v>0.04</v>
      </c>
      <c r="E22" s="31">
        <v>1</v>
      </c>
      <c r="F22" s="31">
        <v>0.22500000000000001</v>
      </c>
      <c r="G22" s="31">
        <v>2.1000000000000001E-2</v>
      </c>
      <c r="H22" s="32">
        <v>0.72</v>
      </c>
      <c r="I22" s="32">
        <f>E22/(E22+G22)</f>
        <v>0.97943192948090119</v>
      </c>
      <c r="J22" s="31">
        <f>F22/(F22+H22)</f>
        <v>0.23809523809523811</v>
      </c>
      <c r="K22" s="33">
        <f>-LN(I22)</f>
        <v>2.0782539182528391E-2</v>
      </c>
      <c r="L22" s="33">
        <f>-LN(J22)</f>
        <v>1.4350845252893225</v>
      </c>
      <c r="M22" s="34" cm="1">
        <f t="array" ref="M22:N26">LINEST(L22:L23,K22:K23,FALSE,TRUE)</f>
        <v>61.856388271793556</v>
      </c>
      <c r="N22" s="34">
        <v>0</v>
      </c>
      <c r="O22" s="176">
        <f>TINV(0.32,N25)*M23</f>
        <v>8.3787218332003643</v>
      </c>
      <c r="P22" s="179">
        <f>O22*100/M22</f>
        <v>13.545443029076841</v>
      </c>
      <c r="Q22" s="173">
        <f>-1.99*273*LN(M22)/1000</f>
        <v>-2.2408884515107474</v>
      </c>
      <c r="R22" s="173">
        <f>ABS(1.99*273*O22/M22/1000)</f>
        <v>7.3588328344065757E-2</v>
      </c>
      <c r="S22" s="77"/>
    </row>
    <row r="23" spans="1:32">
      <c r="A23" s="183"/>
      <c r="B23" s="22">
        <v>0.2</v>
      </c>
      <c r="C23" s="22">
        <v>0.2</v>
      </c>
      <c r="D23" s="15">
        <v>0.08</v>
      </c>
      <c r="E23" s="23">
        <v>1</v>
      </c>
      <c r="F23" s="23">
        <v>0.1525</v>
      </c>
      <c r="G23" s="23">
        <v>3.3000000000000002E-2</v>
      </c>
      <c r="H23" s="27">
        <v>0.88</v>
      </c>
      <c r="I23" s="24">
        <f>E23/(E23+G23)</f>
        <v>0.96805421103581812</v>
      </c>
      <c r="J23" s="23">
        <f>F23/(F23+H23)</f>
        <v>0.14769975786924938</v>
      </c>
      <c r="K23" s="25">
        <f>-LN(I23)</f>
        <v>3.2467190137501371E-2</v>
      </c>
      <c r="L23" s="25">
        <f>-LN(J23)</f>
        <v>1.9125737287877216</v>
      </c>
      <c r="M23" s="26">
        <v>4.606241307231036</v>
      </c>
      <c r="N23" s="26" t="e">
        <v>#N/A</v>
      </c>
      <c r="O23" s="177"/>
      <c r="P23" s="180"/>
      <c r="Q23" s="174"/>
      <c r="R23" s="174"/>
      <c r="S23" s="55"/>
    </row>
    <row r="24" spans="1:32">
      <c r="A24" s="183"/>
      <c r="B24" s="61"/>
      <c r="C24" s="61"/>
      <c r="D24" s="61"/>
      <c r="E24" s="62"/>
      <c r="F24" s="62"/>
      <c r="G24" s="62"/>
      <c r="H24" s="46"/>
      <c r="I24" s="63"/>
      <c r="J24" s="62"/>
      <c r="K24" s="64"/>
      <c r="L24" s="64"/>
      <c r="M24" s="26">
        <v>0.99448529077396841</v>
      </c>
      <c r="N24" s="26">
        <v>0.17756641253459482</v>
      </c>
      <c r="O24" s="177"/>
      <c r="P24" s="180"/>
      <c r="Q24" s="174"/>
      <c r="R24" s="174"/>
      <c r="S24" s="55"/>
    </row>
    <row r="25" spans="1:32">
      <c r="A25" s="183"/>
      <c r="B25" s="45"/>
      <c r="C25" s="45"/>
      <c r="D25" s="45"/>
      <c r="E25" s="46"/>
      <c r="F25" s="46"/>
      <c r="G25" s="46"/>
      <c r="H25" s="46"/>
      <c r="I25" s="46"/>
      <c r="J25" s="46"/>
      <c r="K25" s="47"/>
      <c r="L25" s="47"/>
      <c r="M25" s="26">
        <v>180.3332233873025</v>
      </c>
      <c r="N25" s="26">
        <v>1</v>
      </c>
      <c r="O25" s="177"/>
      <c r="P25" s="180"/>
      <c r="Q25" s="174"/>
      <c r="R25" s="174"/>
      <c r="S25" s="55"/>
    </row>
    <row r="26" spans="1:32">
      <c r="A26" s="184"/>
      <c r="B26" s="42"/>
      <c r="C26" s="42"/>
      <c r="D26" s="42"/>
      <c r="E26" s="43"/>
      <c r="F26" s="43"/>
      <c r="G26" s="43"/>
      <c r="H26" s="43"/>
      <c r="I26" s="43"/>
      <c r="J26" s="43"/>
      <c r="K26" s="44"/>
      <c r="L26" s="44"/>
      <c r="M26" s="26">
        <v>5.6858760319134438</v>
      </c>
      <c r="N26" s="26">
        <v>3.1529830860405915E-2</v>
      </c>
      <c r="O26" s="178"/>
      <c r="P26" s="181"/>
      <c r="Q26" s="175"/>
      <c r="R26" s="175"/>
      <c r="S26" s="55"/>
    </row>
    <row r="27" spans="1:32" s="19" customFormat="1">
      <c r="A27" s="182" t="s">
        <v>730</v>
      </c>
      <c r="B27" s="30">
        <v>0.2</v>
      </c>
      <c r="C27" s="30">
        <v>0.2</v>
      </c>
      <c r="D27" s="30">
        <v>0.04</v>
      </c>
      <c r="E27" s="31">
        <v>1</v>
      </c>
      <c r="F27" s="31">
        <v>0.42</v>
      </c>
      <c r="G27" s="31">
        <v>1.6E-2</v>
      </c>
      <c r="H27" s="32">
        <v>0.44</v>
      </c>
      <c r="I27" s="32">
        <f>E27/(E27+G27)</f>
        <v>0.98425196850393704</v>
      </c>
      <c r="J27" s="31">
        <f>F27/(F27+H27)</f>
        <v>0.48837209302325579</v>
      </c>
      <c r="K27" s="33">
        <f>-LN(I27)</f>
        <v>1.5873349156290122E-2</v>
      </c>
      <c r="L27" s="33">
        <f>-LN(J27)</f>
        <v>0.71667767797013948</v>
      </c>
      <c r="M27" s="34" cm="1">
        <f t="array" ref="M27:N31">LINEST(L27:L28,K27:K28,FALSE,TRUE)</f>
        <v>54.491838031951161</v>
      </c>
      <c r="N27" s="34">
        <v>0</v>
      </c>
      <c r="O27" s="176">
        <f>TINV(0.32,N30)*M28</f>
        <v>6.8774639833217215</v>
      </c>
      <c r="P27" s="179">
        <f>O27*100/M27</f>
        <v>12.621090114980406</v>
      </c>
      <c r="Q27" s="173">
        <f>-1.99*273*LN(M27)/1000</f>
        <v>-2.1720211285087365</v>
      </c>
      <c r="R27" s="173">
        <f>ABS(1.99*273*O27/M27/1000)</f>
        <v>6.8566596267654045E-2</v>
      </c>
      <c r="S27" s="77"/>
    </row>
    <row r="28" spans="1:32">
      <c r="A28" s="183"/>
      <c r="B28" s="22">
        <v>0.2</v>
      </c>
      <c r="C28" s="22">
        <v>0.2</v>
      </c>
      <c r="D28" s="15">
        <v>0.08</v>
      </c>
      <c r="E28" s="23">
        <v>1</v>
      </c>
      <c r="F28" s="23">
        <v>0.08</v>
      </c>
      <c r="G28" s="23">
        <v>0.04</v>
      </c>
      <c r="H28" s="24">
        <v>0.64</v>
      </c>
      <c r="I28" s="24">
        <f>E28/(E28+G28)</f>
        <v>0.96153846153846145</v>
      </c>
      <c r="J28" s="23">
        <f>F28/(F28+H28)</f>
        <v>0.11111111111111112</v>
      </c>
      <c r="K28" s="25">
        <f>-LN(I28)</f>
        <v>3.9220713153281385E-2</v>
      </c>
      <c r="L28" s="25">
        <f>-LN(J28)</f>
        <v>2.1972245773362191</v>
      </c>
      <c r="M28" s="26">
        <v>3.7809178201193365</v>
      </c>
      <c r="N28" s="26" t="e">
        <v>#N/A</v>
      </c>
      <c r="O28" s="177"/>
      <c r="P28" s="180"/>
      <c r="Q28" s="174"/>
      <c r="R28" s="174"/>
      <c r="S28" s="55"/>
    </row>
    <row r="29" spans="1:32">
      <c r="A29" s="183"/>
      <c r="B29" s="61"/>
      <c r="C29" s="61"/>
      <c r="D29" s="45"/>
      <c r="E29" s="62"/>
      <c r="F29" s="62"/>
      <c r="G29" s="62"/>
      <c r="H29" s="46"/>
      <c r="I29" s="63"/>
      <c r="J29" s="62"/>
      <c r="K29" s="64"/>
      <c r="L29" s="64"/>
      <c r="M29" s="26">
        <v>0.99520878387041511</v>
      </c>
      <c r="N29" s="26">
        <v>0.15997471917189765</v>
      </c>
      <c r="O29" s="177"/>
      <c r="P29" s="180"/>
      <c r="Q29" s="174"/>
      <c r="R29" s="174"/>
      <c r="S29" s="55"/>
    </row>
    <row r="30" spans="1:32">
      <c r="A30" s="183"/>
      <c r="B30" s="61"/>
      <c r="C30" s="61"/>
      <c r="D30" s="61"/>
      <c r="E30" s="62"/>
      <c r="F30" s="62"/>
      <c r="G30" s="62"/>
      <c r="H30" s="46"/>
      <c r="I30" s="63"/>
      <c r="J30" s="62"/>
      <c r="K30" s="64"/>
      <c r="L30" s="64"/>
      <c r="M30" s="26">
        <v>207.71527665495691</v>
      </c>
      <c r="N30" s="26">
        <v>1</v>
      </c>
      <c r="O30" s="177"/>
      <c r="P30" s="180"/>
      <c r="Q30" s="174"/>
      <c r="R30" s="174"/>
      <c r="S30" s="55"/>
    </row>
    <row r="31" spans="1:32">
      <c r="A31" s="196"/>
      <c r="B31" s="45"/>
      <c r="C31" s="45"/>
      <c r="D31" s="45"/>
      <c r="E31" s="46"/>
      <c r="F31" s="46"/>
      <c r="G31" s="46"/>
      <c r="H31" s="46"/>
      <c r="I31" s="46"/>
      <c r="J31" s="46"/>
      <c r="K31" s="47"/>
      <c r="L31" s="47"/>
      <c r="M31" s="26">
        <v>5.3158308265768701</v>
      </c>
      <c r="N31" s="26">
        <v>2.5591910774127518E-2</v>
      </c>
      <c r="O31" s="177"/>
      <c r="P31" s="180"/>
      <c r="Q31" s="194"/>
      <c r="R31" s="174"/>
      <c r="S31" s="55"/>
    </row>
    <row r="32" spans="1:32" s="38" customFormat="1">
      <c r="A32" s="102" t="s">
        <v>747</v>
      </c>
      <c r="B32" s="35"/>
      <c r="C32" s="35"/>
      <c r="D32" s="35"/>
      <c r="E32" s="36"/>
      <c r="F32" s="36"/>
      <c r="G32" s="36"/>
      <c r="H32" s="36"/>
      <c r="I32" s="36"/>
      <c r="J32" s="36"/>
      <c r="K32" s="37"/>
      <c r="L32" s="37"/>
      <c r="M32" s="52">
        <f>M27*2*0.49/(0.49+0.15)</f>
        <v>83.440626986425215</v>
      </c>
      <c r="N32" s="54"/>
      <c r="O32" s="39">
        <f>O27*0.49/(0.49+0.15)</f>
        <v>5.265558362230693</v>
      </c>
      <c r="P32" s="40">
        <f>O27*100/M27</f>
        <v>12.621090114980406</v>
      </c>
      <c r="Q32" s="41">
        <f>-1.99*273*LN(M32)/1000</f>
        <v>-2.403499997949289</v>
      </c>
      <c r="R32" s="41">
        <f>ABS(1.99*273*O32/M32/1000)</f>
        <v>3.4283298133827023E-2</v>
      </c>
      <c r="S32" s="75"/>
    </row>
    <row r="33" spans="1:19">
      <c r="A33" s="86" t="s">
        <v>748</v>
      </c>
      <c r="B33" s="42"/>
      <c r="C33" s="42"/>
      <c r="D33" s="42"/>
      <c r="E33" s="43"/>
      <c r="F33" s="43"/>
      <c r="G33" s="43"/>
      <c r="H33" s="43"/>
      <c r="I33" s="43"/>
      <c r="J33" s="43"/>
      <c r="K33" s="44"/>
      <c r="L33" s="44"/>
      <c r="M33" s="60">
        <f>M27*2*0.15/(0.49+0.15)</f>
        <v>25.543049077477104</v>
      </c>
      <c r="N33" s="53"/>
      <c r="O33" s="13">
        <f>O27*0.15/(0.49+0.15)</f>
        <v>1.6119056210910285</v>
      </c>
      <c r="P33" s="14">
        <f>O27*100/M27</f>
        <v>12.621090114980406</v>
      </c>
      <c r="Q33" s="15">
        <f>-1.99*273*LN(M33)/1000</f>
        <v>-1.7603932173475267</v>
      </c>
      <c r="R33" s="15">
        <f>ABS(1.99*273*O33/M33/1000)</f>
        <v>3.428329813382703E-2</v>
      </c>
      <c r="S33" s="55"/>
    </row>
    <row r="34" spans="1:19" s="19" customFormat="1">
      <c r="A34" s="182" t="s">
        <v>722</v>
      </c>
      <c r="B34" s="30">
        <v>0.2</v>
      </c>
      <c r="C34" s="30">
        <v>0.2</v>
      </c>
      <c r="D34" s="18">
        <v>0.04</v>
      </c>
      <c r="E34" s="31">
        <v>1</v>
      </c>
      <c r="F34" s="31">
        <v>0.375</v>
      </c>
      <c r="G34" s="31">
        <v>0</v>
      </c>
      <c r="H34" s="32">
        <v>0.57999999999999996</v>
      </c>
      <c r="I34" s="32">
        <f t="shared" ref="I34:J36" si="4">E34/(E34+G34)</f>
        <v>1</v>
      </c>
      <c r="J34" s="31">
        <f t="shared" si="4"/>
        <v>0.39267015706806285</v>
      </c>
      <c r="K34" s="33">
        <f t="shared" ref="K34:L36" si="5">-LN(I34)</f>
        <v>0</v>
      </c>
      <c r="L34" s="33">
        <f t="shared" si="5"/>
        <v>0.93478531451031932</v>
      </c>
      <c r="M34" s="34" cm="1">
        <f t="array" ref="M34:N38">LINEST(L34:L36,K34:K36,FALSE,TRUE)</f>
        <v>48.795008838070302</v>
      </c>
      <c r="N34" s="34">
        <v>0</v>
      </c>
      <c r="O34" s="176">
        <f>TINV(0.32,N37)*M35</f>
        <v>11.589184823101016</v>
      </c>
      <c r="P34" s="179">
        <f>O34*100/M34</f>
        <v>23.75075873346093</v>
      </c>
      <c r="Q34" s="173">
        <f>-1.99*273*LN(M34)/1000</f>
        <v>-2.1120316797059648</v>
      </c>
      <c r="R34" s="173">
        <f>ABS(1.99*273*O34/M34/1000)</f>
        <v>0.1290307469712732</v>
      </c>
      <c r="S34" s="77"/>
    </row>
    <row r="35" spans="1:19">
      <c r="A35" s="183"/>
      <c r="B35" s="22">
        <v>0.2</v>
      </c>
      <c r="C35" s="22">
        <v>0.2</v>
      </c>
      <c r="D35" s="15">
        <v>0.08</v>
      </c>
      <c r="E35" s="23">
        <v>1</v>
      </c>
      <c r="F35" s="23">
        <v>0.13500000000000001</v>
      </c>
      <c r="G35" s="23">
        <v>8.9999999999999993E-3</v>
      </c>
      <c r="H35" s="27">
        <v>0.78</v>
      </c>
      <c r="I35" s="24">
        <f t="shared" si="4"/>
        <v>0.99108027750247785</v>
      </c>
      <c r="J35" s="23">
        <f t="shared" si="4"/>
        <v>0.14754098360655737</v>
      </c>
      <c r="K35" s="25">
        <f t="shared" si="5"/>
        <v>8.9597413714717564E-3</v>
      </c>
      <c r="L35" s="25">
        <f t="shared" si="5"/>
        <v>1.9136492868370918</v>
      </c>
      <c r="M35" s="26">
        <v>8.836059028757818</v>
      </c>
      <c r="N35" s="26" t="e">
        <v>#N/A</v>
      </c>
      <c r="O35" s="177"/>
      <c r="P35" s="180"/>
      <c r="Q35" s="174"/>
      <c r="R35" s="174"/>
      <c r="S35" s="55"/>
    </row>
    <row r="36" spans="1:19">
      <c r="A36" s="183"/>
      <c r="B36" s="22">
        <v>0.2</v>
      </c>
      <c r="C36" s="22">
        <v>0.2</v>
      </c>
      <c r="D36" s="22">
        <v>0.12</v>
      </c>
      <c r="E36" s="23">
        <v>1</v>
      </c>
      <c r="F36" s="23">
        <v>1.25E-3</v>
      </c>
      <c r="G36" s="23">
        <v>0.15</v>
      </c>
      <c r="H36" s="27">
        <v>1.04</v>
      </c>
      <c r="I36" s="24">
        <f t="shared" si="4"/>
        <v>0.86956521739130443</v>
      </c>
      <c r="J36" s="23">
        <f t="shared" si="4"/>
        <v>1.2004801920768306E-3</v>
      </c>
      <c r="K36" s="25">
        <f t="shared" si="5"/>
        <v>0.1397619423751586</v>
      </c>
      <c r="L36" s="25">
        <f t="shared" si="5"/>
        <v>6.7250336421668431</v>
      </c>
      <c r="M36" s="26">
        <v>0.93845272752522646</v>
      </c>
      <c r="N36" s="26">
        <v>1.2374798145173118</v>
      </c>
      <c r="O36" s="177"/>
      <c r="P36" s="180"/>
      <c r="Q36" s="174"/>
      <c r="R36" s="174"/>
      <c r="S36" s="55"/>
    </row>
    <row r="37" spans="1:19">
      <c r="A37" s="183"/>
      <c r="B37" s="61"/>
      <c r="C37" s="61"/>
      <c r="D37" s="61"/>
      <c r="E37" s="62"/>
      <c r="F37" s="62"/>
      <c r="G37" s="62"/>
      <c r="H37" s="46"/>
      <c r="I37" s="63"/>
      <c r="J37" s="62"/>
      <c r="K37" s="64"/>
      <c r="L37" s="64"/>
      <c r="M37" s="26">
        <v>30.495347390410245</v>
      </c>
      <c r="N37" s="26">
        <v>2</v>
      </c>
      <c r="O37" s="177"/>
      <c r="P37" s="180"/>
      <c r="Q37" s="174"/>
      <c r="R37" s="174"/>
      <c r="S37" s="55"/>
    </row>
    <row r="38" spans="1:19">
      <c r="A38" s="184"/>
      <c r="B38" s="42"/>
      <c r="C38" s="42"/>
      <c r="D38" s="42"/>
      <c r="E38" s="43"/>
      <c r="F38" s="43"/>
      <c r="G38" s="43"/>
      <c r="H38" s="43"/>
      <c r="I38" s="43"/>
      <c r="J38" s="43"/>
      <c r="K38" s="44"/>
      <c r="L38" s="44"/>
      <c r="M38" s="26">
        <v>46.699242082836498</v>
      </c>
      <c r="N38" s="26">
        <v>3.0627125826756005</v>
      </c>
      <c r="O38" s="178"/>
      <c r="P38" s="181"/>
      <c r="Q38" s="175"/>
      <c r="R38" s="175"/>
      <c r="S38" s="55"/>
    </row>
    <row r="39" spans="1:19" s="19" customFormat="1">
      <c r="A39" s="182" t="s">
        <v>749</v>
      </c>
      <c r="B39" s="30">
        <v>0.2</v>
      </c>
      <c r="C39" s="30">
        <v>0.2</v>
      </c>
      <c r="D39" s="18">
        <v>0.04</v>
      </c>
      <c r="E39" s="31">
        <v>1</v>
      </c>
      <c r="F39" s="31">
        <v>0.69299999999999995</v>
      </c>
      <c r="G39" s="31">
        <v>8.0000000000000002E-3</v>
      </c>
      <c r="H39" s="32">
        <v>0.33</v>
      </c>
      <c r="I39" s="32">
        <f t="shared" ref="I39:J41" si="6">E39/(E39+G39)</f>
        <v>0.99206349206349209</v>
      </c>
      <c r="J39" s="31">
        <f t="shared" si="6"/>
        <v>0.67741935483870974</v>
      </c>
      <c r="K39" s="33">
        <f>-LN(I39)</f>
        <v>7.9681696491768449E-3</v>
      </c>
      <c r="L39" s="33">
        <f t="shared" ref="L39:L41" si="7">-LN(J39)</f>
        <v>0.38946476676172315</v>
      </c>
      <c r="M39" s="34" cm="1">
        <f t="array" ref="M39:N43">LINEST(L39:L41,K39:K41,FALSE,TRUE)</f>
        <v>46.303060174401224</v>
      </c>
      <c r="N39" s="34">
        <v>0</v>
      </c>
      <c r="O39" s="176">
        <f t="shared" ref="O39" si="8">TINV(0.32,N42)*M40</f>
        <v>4.9980795699688754</v>
      </c>
      <c r="P39" s="179">
        <f>O39*100/M39</f>
        <v>10.794274830094443</v>
      </c>
      <c r="Q39" s="173">
        <f>-1.99*273*LN(M39)/1000</f>
        <v>-2.0835534791638555</v>
      </c>
      <c r="R39" s="173">
        <f>ABS(1.99*273*O39/M39/1000)</f>
        <v>5.8642056869454083E-2</v>
      </c>
      <c r="S39" s="77"/>
    </row>
    <row r="40" spans="1:19">
      <c r="A40" s="183"/>
      <c r="B40" s="22">
        <v>0.2</v>
      </c>
      <c r="C40" s="22">
        <v>0.2</v>
      </c>
      <c r="D40" s="15">
        <v>0.08</v>
      </c>
      <c r="E40" s="23">
        <v>1</v>
      </c>
      <c r="F40" s="23">
        <v>0.39500000000000002</v>
      </c>
      <c r="G40" s="23">
        <v>1.4999999999999999E-2</v>
      </c>
      <c r="H40" s="27">
        <v>0.5</v>
      </c>
      <c r="I40" s="24">
        <f t="shared" si="6"/>
        <v>0.98522167487684742</v>
      </c>
      <c r="J40" s="23">
        <f t="shared" si="6"/>
        <v>0.44134078212290506</v>
      </c>
      <c r="K40" s="25">
        <f>-LN(I40)</f>
        <v>1.4888612493750524E-2</v>
      </c>
      <c r="L40" s="25">
        <f t="shared" si="7"/>
        <v>0.81793795337373343</v>
      </c>
      <c r="M40" s="26">
        <v>3.8107361979974295</v>
      </c>
      <c r="N40" s="26" t="e">
        <v>#N/A</v>
      </c>
      <c r="O40" s="177"/>
      <c r="P40" s="180"/>
      <c r="Q40" s="174"/>
      <c r="R40" s="174"/>
      <c r="S40" s="55"/>
    </row>
    <row r="41" spans="1:19">
      <c r="A41" s="183"/>
      <c r="B41" s="22">
        <v>0.2</v>
      </c>
      <c r="C41" s="22">
        <v>0.2</v>
      </c>
      <c r="D41" s="22">
        <v>0.12</v>
      </c>
      <c r="E41" s="23">
        <v>1</v>
      </c>
      <c r="F41" s="23">
        <v>0.435</v>
      </c>
      <c r="G41" s="23">
        <v>2.4E-2</v>
      </c>
      <c r="H41" s="27">
        <v>0.76</v>
      </c>
      <c r="I41" s="24">
        <f t="shared" si="6"/>
        <v>0.9765625</v>
      </c>
      <c r="J41" s="23">
        <f t="shared" si="6"/>
        <v>0.36401673640167365</v>
      </c>
      <c r="K41" s="25">
        <f>-LN(I41)</f>
        <v>2.3716526617316044E-2</v>
      </c>
      <c r="L41" s="25">
        <f t="shared" si="7"/>
        <v>1.0105554332769269</v>
      </c>
      <c r="M41" s="26">
        <v>0.98663451625808529</v>
      </c>
      <c r="N41" s="26">
        <v>0.11094650326991945</v>
      </c>
      <c r="O41" s="177"/>
      <c r="P41" s="180"/>
      <c r="Q41" s="174"/>
      <c r="R41" s="174"/>
      <c r="S41" s="55"/>
    </row>
    <row r="42" spans="1:19">
      <c r="A42" s="183"/>
      <c r="B42" s="61"/>
      <c r="C42" s="61"/>
      <c r="D42" s="61"/>
      <c r="E42" s="62"/>
      <c r="F42" s="62"/>
      <c r="G42" s="62"/>
      <c r="H42" s="46"/>
      <c r="I42" s="63"/>
      <c r="J42" s="62"/>
      <c r="K42" s="64"/>
      <c r="L42" s="64"/>
      <c r="M42" s="26">
        <v>147.63917794669212</v>
      </c>
      <c r="N42" s="26">
        <v>2</v>
      </c>
      <c r="O42" s="177"/>
      <c r="P42" s="180"/>
      <c r="Q42" s="174"/>
      <c r="R42" s="174"/>
      <c r="S42" s="55"/>
    </row>
    <row r="43" spans="1:19">
      <c r="A43" s="184"/>
      <c r="B43" s="42"/>
      <c r="C43" s="42"/>
      <c r="D43" s="42"/>
      <c r="E43" s="43"/>
      <c r="F43" s="43"/>
      <c r="G43" s="43"/>
      <c r="H43" s="43"/>
      <c r="I43" s="43"/>
      <c r="J43" s="43"/>
      <c r="K43" s="44"/>
      <c r="L43" s="44"/>
      <c r="M43" s="26">
        <v>1.8173093306678478</v>
      </c>
      <c r="N43" s="26">
        <v>2.4618253175644492E-2</v>
      </c>
      <c r="O43" s="178"/>
      <c r="P43" s="181"/>
      <c r="Q43" s="175"/>
      <c r="R43" s="175"/>
      <c r="S43" s="55"/>
    </row>
    <row r="44" spans="1:19" s="19" customFormat="1">
      <c r="A44" s="182" t="s">
        <v>750</v>
      </c>
      <c r="B44" s="30">
        <v>0.2</v>
      </c>
      <c r="C44" s="30">
        <v>0.2</v>
      </c>
      <c r="D44" s="18">
        <v>0.04</v>
      </c>
      <c r="E44" s="31">
        <v>1</v>
      </c>
      <c r="F44" s="31">
        <v>0.68</v>
      </c>
      <c r="G44" s="31">
        <v>8.9999999999999993E-3</v>
      </c>
      <c r="H44" s="32">
        <v>0.3</v>
      </c>
      <c r="I44" s="32">
        <f t="shared" ref="I44:J46" si="9">E44/(E44+G44)</f>
        <v>0.99108027750247785</v>
      </c>
      <c r="J44" s="31">
        <f t="shared" si="9"/>
        <v>0.69387755102040827</v>
      </c>
      <c r="K44" s="33">
        <f t="shared" ref="K44:L46" si="10">-LN(I44)</f>
        <v>8.9597413714717564E-3</v>
      </c>
      <c r="L44" s="33">
        <f t="shared" si="10"/>
        <v>0.36545977349446507</v>
      </c>
      <c r="M44" s="34" cm="1">
        <f t="array" ref="M44:N48">LINEST(L44:L46,K44:K46,FALSE,TRUE)</f>
        <v>32.431096815262393</v>
      </c>
      <c r="N44" s="34">
        <v>0</v>
      </c>
      <c r="O44" s="176">
        <f t="shared" ref="O44" si="11">TINV(0.32,N47)*M45</f>
        <v>3.6017500532270099</v>
      </c>
      <c r="P44" s="179">
        <f>O44*100/M44</f>
        <v>11.105853353476443</v>
      </c>
      <c r="Q44" s="173">
        <f>-1.99*273*LN(M44)/1000</f>
        <v>-1.8901002950196837</v>
      </c>
      <c r="R44" s="173">
        <f>ABS(1.99*273*O44/M44/1000)</f>
        <v>6.0334769513431467E-2</v>
      </c>
      <c r="S44" s="77"/>
    </row>
    <row r="45" spans="1:19">
      <c r="A45" s="183"/>
      <c r="B45" s="22">
        <v>0.2</v>
      </c>
      <c r="C45" s="22">
        <v>0.2</v>
      </c>
      <c r="D45" s="15">
        <v>0.06</v>
      </c>
      <c r="E45" s="23">
        <v>1</v>
      </c>
      <c r="F45" s="23">
        <v>0.65</v>
      </c>
      <c r="G45" s="23">
        <v>1.2999999999999999E-2</v>
      </c>
      <c r="H45" s="27">
        <v>0.34</v>
      </c>
      <c r="I45" s="24">
        <f t="shared" si="9"/>
        <v>0.98716683119447202</v>
      </c>
      <c r="J45" s="23">
        <f t="shared" si="9"/>
        <v>0.65656565656565657</v>
      </c>
      <c r="K45" s="25">
        <f t="shared" si="10"/>
        <v>1.2916225266546176E-2</v>
      </c>
      <c r="L45" s="25">
        <f t="shared" si="10"/>
        <v>0.42073258023895282</v>
      </c>
      <c r="M45" s="26">
        <v>2.7461186065224661</v>
      </c>
      <c r="N45" s="26" t="e">
        <v>#N/A</v>
      </c>
      <c r="O45" s="177"/>
      <c r="P45" s="180"/>
      <c r="Q45" s="174"/>
      <c r="R45" s="174"/>
      <c r="S45" s="55"/>
    </row>
    <row r="46" spans="1:19">
      <c r="A46" s="183"/>
      <c r="B46" s="22">
        <v>0.2</v>
      </c>
      <c r="C46" s="22">
        <v>0.2</v>
      </c>
      <c r="D46" s="22">
        <v>0.08</v>
      </c>
      <c r="E46" s="23">
        <v>1</v>
      </c>
      <c r="F46" s="23">
        <v>0.61499999999999999</v>
      </c>
      <c r="G46" s="23">
        <v>1.6E-2</v>
      </c>
      <c r="H46" s="27">
        <v>0.37</v>
      </c>
      <c r="I46" s="24">
        <f t="shared" si="9"/>
        <v>0.98425196850393704</v>
      </c>
      <c r="J46" s="23">
        <f t="shared" si="9"/>
        <v>0.62436548223350252</v>
      </c>
      <c r="K46" s="25">
        <f t="shared" si="10"/>
        <v>1.5873349156290122E-2</v>
      </c>
      <c r="L46" s="25">
        <f t="shared" si="10"/>
        <v>0.47101937336557104</v>
      </c>
      <c r="M46" s="26">
        <v>0.98586285194985368</v>
      </c>
      <c r="N46" s="26">
        <v>6.1347887339726036E-2</v>
      </c>
      <c r="O46" s="177"/>
      <c r="P46" s="180"/>
      <c r="Q46" s="174"/>
      <c r="R46" s="174"/>
      <c r="S46" s="55"/>
    </row>
    <row r="47" spans="1:19">
      <c r="A47" s="183"/>
      <c r="B47" s="61"/>
      <c r="C47" s="61"/>
      <c r="D47" s="61"/>
      <c r="E47" s="62"/>
      <c r="F47" s="62"/>
      <c r="G47" s="62"/>
      <c r="H47" s="46"/>
      <c r="I47" s="63"/>
      <c r="J47" s="62"/>
      <c r="K47" s="64"/>
      <c r="L47" s="64"/>
      <c r="M47" s="26">
        <v>139.47124956927144</v>
      </c>
      <c r="N47" s="26">
        <v>2</v>
      </c>
      <c r="O47" s="177"/>
      <c r="P47" s="180"/>
      <c r="Q47" s="174"/>
      <c r="R47" s="174"/>
      <c r="S47" s="55"/>
    </row>
    <row r="48" spans="1:19">
      <c r="A48" s="184"/>
      <c r="B48" s="42"/>
      <c r="C48" s="42"/>
      <c r="D48" s="42"/>
      <c r="E48" s="43"/>
      <c r="F48" s="43"/>
      <c r="G48" s="43"/>
      <c r="H48" s="43"/>
      <c r="I48" s="43"/>
      <c r="J48" s="43"/>
      <c r="K48" s="44"/>
      <c r="L48" s="44"/>
      <c r="M48" s="26">
        <v>0.52490887364075234</v>
      </c>
      <c r="N48" s="26">
        <v>7.5271265620954365E-3</v>
      </c>
      <c r="O48" s="178"/>
      <c r="P48" s="181"/>
      <c r="Q48" s="175"/>
      <c r="R48" s="175"/>
      <c r="S48" s="55"/>
    </row>
    <row r="49" spans="1:19" s="19" customFormat="1">
      <c r="A49" s="182" t="s">
        <v>733</v>
      </c>
      <c r="B49" s="30">
        <v>0.2</v>
      </c>
      <c r="C49" s="30">
        <v>0.2</v>
      </c>
      <c r="D49" s="18">
        <v>0.04</v>
      </c>
      <c r="E49" s="31">
        <v>1</v>
      </c>
      <c r="F49" s="31">
        <v>0.28999999999999998</v>
      </c>
      <c r="G49" s="31">
        <v>3.3000000000000002E-2</v>
      </c>
      <c r="H49" s="32">
        <v>0.56000000000000005</v>
      </c>
      <c r="I49" s="32">
        <f>E49/(E49+G49)</f>
        <v>0.96805421103581812</v>
      </c>
      <c r="J49" s="31">
        <f>F49/(F49+H49)</f>
        <v>0.34117647058823525</v>
      </c>
      <c r="K49" s="33">
        <f>-LN(I49)</f>
        <v>3.2467190137501371E-2</v>
      </c>
      <c r="L49" s="33">
        <f>-LN(J49)</f>
        <v>1.0753554265038425</v>
      </c>
      <c r="M49" s="34" cm="1">
        <f t="array" ref="M49:N53">LINEST(L49:L50,K49:K50,FALSE,TRUE)</f>
        <v>30.956181974396493</v>
      </c>
      <c r="N49" s="34">
        <v>0</v>
      </c>
      <c r="O49" s="176">
        <f>TINV(0.32,N52)*M50</f>
        <v>1.723746237221607</v>
      </c>
      <c r="P49" s="179">
        <f>O49*100/M49</f>
        <v>5.5683424998835385</v>
      </c>
      <c r="Q49" s="173">
        <f>-1.99*273*LN(M49)/1000</f>
        <v>-1.8648137815272592</v>
      </c>
      <c r="R49" s="173">
        <f>ABS(1.99*273*O49/M49/1000)</f>
        <v>3.0251134299117296E-2</v>
      </c>
      <c r="S49" s="77"/>
    </row>
    <row r="50" spans="1:19">
      <c r="A50" s="183"/>
      <c r="B50" s="22">
        <v>0.2</v>
      </c>
      <c r="C50" s="22">
        <v>0.2</v>
      </c>
      <c r="D50" s="15">
        <v>0.08</v>
      </c>
      <c r="E50" s="23">
        <v>1</v>
      </c>
      <c r="F50" s="23">
        <v>0.11</v>
      </c>
      <c r="G50" s="23">
        <v>7.6999999999999999E-2</v>
      </c>
      <c r="H50" s="27">
        <v>0.95</v>
      </c>
      <c r="I50" s="24">
        <f>E50/(E50+G50)</f>
        <v>0.92850510677808729</v>
      </c>
      <c r="J50" s="23">
        <f>F50/(F50+H50)</f>
        <v>0.10377358490566037</v>
      </c>
      <c r="K50" s="25">
        <f>-LN(I50)</f>
        <v>7.417939817425151E-2</v>
      </c>
      <c r="L50" s="25">
        <f>-LN(J50)</f>
        <v>2.2655438213136967</v>
      </c>
      <c r="M50" s="26">
        <v>0.94763751311236077</v>
      </c>
      <c r="N50" s="26" t="e">
        <v>#N/A</v>
      </c>
      <c r="O50" s="177"/>
      <c r="P50" s="180"/>
      <c r="Q50" s="174"/>
      <c r="R50" s="174"/>
      <c r="S50" s="55"/>
    </row>
    <row r="51" spans="1:19">
      <c r="A51" s="183"/>
      <c r="B51" s="61"/>
      <c r="C51" s="61"/>
      <c r="D51" s="61"/>
      <c r="E51" s="62"/>
      <c r="F51" s="62"/>
      <c r="G51" s="62"/>
      <c r="H51" s="46"/>
      <c r="I51" s="63"/>
      <c r="J51" s="62"/>
      <c r="K51" s="64"/>
      <c r="L51" s="64"/>
      <c r="M51" s="26">
        <v>0.99906376921718443</v>
      </c>
      <c r="N51" s="26">
        <v>7.673349016160147E-2</v>
      </c>
      <c r="O51" s="177"/>
      <c r="P51" s="180"/>
      <c r="Q51" s="174"/>
      <c r="R51" s="174"/>
      <c r="S51" s="55"/>
    </row>
    <row r="52" spans="1:19">
      <c r="A52" s="183"/>
      <c r="B52" s="45"/>
      <c r="C52" s="45"/>
      <c r="D52" s="45"/>
      <c r="E52" s="46"/>
      <c r="F52" s="46"/>
      <c r="G52" s="46"/>
      <c r="H52" s="46"/>
      <c r="I52" s="46"/>
      <c r="J52" s="46"/>
      <c r="K52" s="47"/>
      <c r="L52" s="47"/>
      <c r="M52" s="26">
        <v>1067.1127114755072</v>
      </c>
      <c r="N52" s="26">
        <v>1</v>
      </c>
      <c r="O52" s="177"/>
      <c r="P52" s="180"/>
      <c r="Q52" s="174"/>
      <c r="R52" s="174"/>
      <c r="S52" s="55"/>
    </row>
    <row r="53" spans="1:19">
      <c r="A53" s="184"/>
      <c r="B53" s="42"/>
      <c r="C53" s="42"/>
      <c r="D53" s="42"/>
      <c r="E53" s="43"/>
      <c r="F53" s="43"/>
      <c r="G53" s="43"/>
      <c r="H53" s="43"/>
      <c r="I53" s="43"/>
      <c r="J53" s="43"/>
      <c r="K53" s="44"/>
      <c r="L53" s="44"/>
      <c r="M53" s="26">
        <v>6.283190071091548</v>
      </c>
      <c r="N53" s="26">
        <v>5.8880285123805894E-3</v>
      </c>
      <c r="O53" s="178"/>
      <c r="P53" s="181"/>
      <c r="Q53" s="175"/>
      <c r="R53" s="175"/>
      <c r="S53" s="55"/>
    </row>
    <row r="54" spans="1:19" s="19" customFormat="1">
      <c r="A54" s="195" t="s">
        <v>751</v>
      </c>
      <c r="B54" s="30">
        <v>0.2</v>
      </c>
      <c r="C54" s="30">
        <v>0.2</v>
      </c>
      <c r="D54" s="18">
        <v>0.04</v>
      </c>
      <c r="E54" s="31">
        <v>1</v>
      </c>
      <c r="F54" s="31">
        <v>0.79</v>
      </c>
      <c r="G54" s="31">
        <v>2.1999999999999999E-2</v>
      </c>
      <c r="H54" s="32">
        <v>0.23</v>
      </c>
      <c r="I54" s="32">
        <f t="shared" ref="I54:J56" si="12">E54/(E54+G54)</f>
        <v>0.97847358121330719</v>
      </c>
      <c r="J54" s="31">
        <f t="shared" si="12"/>
        <v>0.77450980392156865</v>
      </c>
      <c r="K54" s="33">
        <f>-LN(I54)</f>
        <v>2.1761491781512748E-2</v>
      </c>
      <c r="L54" s="33">
        <f t="shared" ref="L54:L56" si="13">-LN(J54)</f>
        <v>0.25552496081724957</v>
      </c>
      <c r="M54" s="34" cm="1">
        <f t="array" ref="M54:N58">LINEST(L54:L56,K54:K56,FALSE,TRUE)</f>
        <v>25.635935858264741</v>
      </c>
      <c r="N54" s="34">
        <v>0</v>
      </c>
      <c r="O54" s="176">
        <f t="shared" ref="O54" si="14">TINV(0.32,N57)*M55</f>
        <v>4.838901319443532</v>
      </c>
      <c r="P54" s="179">
        <f>O54*100/M54</f>
        <v>18.875461953863191</v>
      </c>
      <c r="Q54" s="173">
        <f>-1.99*273*LN(M54)/1000</f>
        <v>-1.762365224290221</v>
      </c>
      <c r="R54" s="173">
        <f>ABS(1.99*273*O54/M54/1000)</f>
        <v>0.10254472215675256</v>
      </c>
      <c r="S54" s="77"/>
    </row>
    <row r="55" spans="1:19">
      <c r="A55" s="183"/>
      <c r="B55" s="22">
        <v>0.2</v>
      </c>
      <c r="C55" s="22">
        <v>0.2</v>
      </c>
      <c r="D55" s="15">
        <v>0.08</v>
      </c>
      <c r="E55" s="23">
        <v>1</v>
      </c>
      <c r="F55" s="23">
        <v>0.53</v>
      </c>
      <c r="G55" s="23">
        <v>2.5000000000000001E-2</v>
      </c>
      <c r="H55" s="27">
        <v>0.46</v>
      </c>
      <c r="I55" s="24">
        <f t="shared" si="12"/>
        <v>0.97560975609756106</v>
      </c>
      <c r="J55" s="23">
        <f t="shared" si="12"/>
        <v>0.53535353535353536</v>
      </c>
      <c r="K55" s="25">
        <f>-LN(I55)</f>
        <v>2.4692612590371411E-2</v>
      </c>
      <c r="L55" s="25">
        <f t="shared" si="13"/>
        <v>0.62482793658246805</v>
      </c>
      <c r="M55" s="26">
        <v>3.6893723195879047</v>
      </c>
      <c r="N55" s="26" t="e">
        <v>#N/A</v>
      </c>
      <c r="O55" s="177"/>
      <c r="P55" s="180"/>
      <c r="Q55" s="174"/>
      <c r="R55" s="174"/>
      <c r="S55" s="55"/>
    </row>
    <row r="56" spans="1:19">
      <c r="A56" s="183"/>
      <c r="B56" s="22">
        <v>0.2</v>
      </c>
      <c r="C56" s="22">
        <v>0.2</v>
      </c>
      <c r="D56" s="22">
        <v>0.12</v>
      </c>
      <c r="E56" s="23">
        <v>1</v>
      </c>
      <c r="F56" s="23">
        <v>0.23</v>
      </c>
      <c r="G56" s="23">
        <v>5.5E-2</v>
      </c>
      <c r="H56" s="27">
        <v>0.8</v>
      </c>
      <c r="I56" s="24">
        <f t="shared" si="12"/>
        <v>0.94786729857819907</v>
      </c>
      <c r="J56" s="23">
        <f t="shared" si="12"/>
        <v>0.22330097087378642</v>
      </c>
      <c r="K56" s="25">
        <f>-LN(I56)</f>
        <v>5.3540766928029802E-2</v>
      </c>
      <c r="L56" s="25">
        <f t="shared" si="13"/>
        <v>1.499234772300486</v>
      </c>
      <c r="M56" s="26">
        <v>0.96022504980067358</v>
      </c>
      <c r="N56" s="26">
        <v>0.23187055972751669</v>
      </c>
      <c r="O56" s="177"/>
      <c r="P56" s="180"/>
      <c r="Q56" s="174"/>
      <c r="R56" s="174"/>
      <c r="S56" s="55"/>
    </row>
    <row r="57" spans="1:19">
      <c r="A57" s="183"/>
      <c r="B57" s="45"/>
      <c r="C57" s="45"/>
      <c r="D57" s="45"/>
      <c r="E57" s="46"/>
      <c r="F57" s="46"/>
      <c r="G57" s="46"/>
      <c r="H57" s="46"/>
      <c r="I57" s="46"/>
      <c r="J57" s="46"/>
      <c r="K57" s="47"/>
      <c r="L57" s="47"/>
      <c r="M57" s="26">
        <v>48.282903937711708</v>
      </c>
      <c r="N57" s="26">
        <v>2</v>
      </c>
      <c r="O57" s="177"/>
      <c r="P57" s="180"/>
      <c r="Q57" s="174"/>
      <c r="R57" s="174"/>
      <c r="S57" s="55"/>
    </row>
    <row r="58" spans="1:19">
      <c r="A58" s="184"/>
      <c r="B58" s="42"/>
      <c r="C58" s="42"/>
      <c r="D58" s="42"/>
      <c r="E58" s="43"/>
      <c r="F58" s="43"/>
      <c r="G58" s="43"/>
      <c r="H58" s="43"/>
      <c r="I58" s="43"/>
      <c r="J58" s="43"/>
      <c r="K58" s="44"/>
      <c r="L58" s="44"/>
      <c r="M58" s="26">
        <v>2.5958799454727481</v>
      </c>
      <c r="N58" s="26">
        <v>0.10752791293670377</v>
      </c>
      <c r="O58" s="178"/>
      <c r="P58" s="181"/>
      <c r="Q58" s="175"/>
      <c r="R58" s="175"/>
      <c r="S58" s="55"/>
    </row>
    <row r="59" spans="1:19" s="19" customFormat="1" ht="14">
      <c r="A59" s="182" t="s">
        <v>752</v>
      </c>
      <c r="B59" s="30">
        <v>0.2</v>
      </c>
      <c r="C59" s="30">
        <v>0.2</v>
      </c>
      <c r="D59" s="18">
        <v>0.04</v>
      </c>
      <c r="E59" s="31">
        <v>1</v>
      </c>
      <c r="F59" s="31">
        <v>0.75</v>
      </c>
      <c r="G59" s="31">
        <v>0.01</v>
      </c>
      <c r="H59" s="32">
        <v>0.24</v>
      </c>
      <c r="I59" s="32">
        <f t="shared" ref="I59:J61" si="15">E59/(E59+G59)</f>
        <v>0.99009900990099009</v>
      </c>
      <c r="J59" s="31">
        <f t="shared" si="15"/>
        <v>0.75757575757575757</v>
      </c>
      <c r="K59" s="33">
        <f>-LN(I59)</f>
        <v>9.950330853168092E-3</v>
      </c>
      <c r="L59" s="33">
        <f t="shared" ref="L59:L61" si="16">-LN(J59)</f>
        <v>0.2776317365982795</v>
      </c>
      <c r="M59" s="34" cm="1">
        <f t="array" ref="M59:N63">LINEST(L59:L61,K59:K61,FALSE,TRUE)</f>
        <v>25.027675509416863</v>
      </c>
      <c r="N59" s="34">
        <v>0</v>
      </c>
      <c r="O59" s="176">
        <f t="shared" ref="O59" si="17">TINV(0.32,N62)*M60</f>
        <v>0.84440540577364021</v>
      </c>
      <c r="P59" s="179">
        <f>O59*100/M59</f>
        <v>3.3738866618113454</v>
      </c>
      <c r="Q59" s="173">
        <f>-1.99*273*LN(M59)/1000</f>
        <v>-1.7493197476945608</v>
      </c>
      <c r="R59" s="173">
        <f>ABS(1.99*273*O59/M59/1000)</f>
        <v>1.8329314067622494E-2</v>
      </c>
      <c r="S59" s="73"/>
    </row>
    <row r="60" spans="1:19">
      <c r="A60" s="183"/>
      <c r="B60" s="22">
        <v>0.2</v>
      </c>
      <c r="C60" s="22">
        <v>0.2</v>
      </c>
      <c r="D60" s="15">
        <v>0.08</v>
      </c>
      <c r="E60" s="23">
        <v>1</v>
      </c>
      <c r="F60" s="23">
        <v>0.62</v>
      </c>
      <c r="G60" s="23">
        <v>0.02</v>
      </c>
      <c r="H60" s="27">
        <v>0.38</v>
      </c>
      <c r="I60" s="24">
        <f t="shared" si="15"/>
        <v>0.98039215686274506</v>
      </c>
      <c r="J60" s="23">
        <f t="shared" si="15"/>
        <v>0.62</v>
      </c>
      <c r="K60" s="25">
        <f>-LN(I60)</f>
        <v>1.9802627296179754E-2</v>
      </c>
      <c r="L60" s="25">
        <f t="shared" si="16"/>
        <v>0.4780358009429998</v>
      </c>
      <c r="M60" s="26">
        <v>0.64380852695915691</v>
      </c>
      <c r="N60" s="26" t="e">
        <v>#N/A</v>
      </c>
      <c r="O60" s="177"/>
      <c r="P60" s="180"/>
      <c r="Q60" s="174"/>
      <c r="R60" s="174"/>
      <c r="S60" s="55"/>
    </row>
    <row r="61" spans="1:19">
      <c r="A61" s="183"/>
      <c r="B61" s="22">
        <v>0.2</v>
      </c>
      <c r="C61" s="22">
        <v>0.2</v>
      </c>
      <c r="D61" s="22">
        <v>0.12</v>
      </c>
      <c r="E61" s="23">
        <v>1</v>
      </c>
      <c r="F61" s="23">
        <v>0.5</v>
      </c>
      <c r="G61" s="23">
        <v>0.03</v>
      </c>
      <c r="H61" s="27">
        <v>0.55000000000000004</v>
      </c>
      <c r="I61" s="24">
        <f t="shared" si="15"/>
        <v>0.970873786407767</v>
      </c>
      <c r="J61" s="23">
        <f t="shared" si="15"/>
        <v>0.47619047619047616</v>
      </c>
      <c r="K61" s="25">
        <f>-LN(I61)</f>
        <v>2.9558802241544391E-2</v>
      </c>
      <c r="L61" s="25">
        <f t="shared" si="16"/>
        <v>0.74193734472937733</v>
      </c>
      <c r="M61" s="26">
        <v>0.99867831478114688</v>
      </c>
      <c r="N61" s="26">
        <v>2.37850084799314E-2</v>
      </c>
      <c r="O61" s="177"/>
      <c r="P61" s="180"/>
      <c r="Q61" s="174"/>
      <c r="R61" s="174"/>
      <c r="S61" s="55"/>
    </row>
    <row r="62" spans="1:19">
      <c r="A62" s="183"/>
      <c r="B62" s="45"/>
      <c r="C62" s="45"/>
      <c r="D62" s="45"/>
      <c r="E62" s="46"/>
      <c r="F62" s="46"/>
      <c r="G62" s="46"/>
      <c r="H62" s="46"/>
      <c r="I62" s="46"/>
      <c r="J62" s="46"/>
      <c r="K62" s="47"/>
      <c r="L62" s="47"/>
      <c r="M62" s="26">
        <v>1511.2196164948714</v>
      </c>
      <c r="N62" s="26">
        <v>2</v>
      </c>
      <c r="O62" s="177"/>
      <c r="P62" s="180"/>
      <c r="Q62" s="174"/>
      <c r="R62" s="174"/>
      <c r="S62" s="55"/>
    </row>
    <row r="63" spans="1:19">
      <c r="A63" s="184"/>
      <c r="B63" s="42"/>
      <c r="C63" s="42"/>
      <c r="D63" s="42"/>
      <c r="E63" s="43"/>
      <c r="F63" s="43"/>
      <c r="G63" s="43"/>
      <c r="H63" s="43"/>
      <c r="I63" s="43"/>
      <c r="J63" s="43"/>
      <c r="K63" s="44"/>
      <c r="L63" s="44"/>
      <c r="M63" s="26">
        <v>0.85493717839708994</v>
      </c>
      <c r="N63" s="26">
        <v>1.1314532567808172E-3</v>
      </c>
      <c r="O63" s="178"/>
      <c r="P63" s="181"/>
      <c r="Q63" s="175"/>
      <c r="R63" s="175"/>
      <c r="S63" s="55"/>
    </row>
    <row r="64" spans="1:19" s="19" customFormat="1">
      <c r="A64" s="182" t="s">
        <v>753</v>
      </c>
      <c r="B64" s="30">
        <v>0.2</v>
      </c>
      <c r="C64" s="30">
        <v>0.2</v>
      </c>
      <c r="D64" s="18">
        <v>0.04</v>
      </c>
      <c r="E64" s="31">
        <v>1</v>
      </c>
      <c r="F64" s="31">
        <v>0.31</v>
      </c>
      <c r="G64" s="31">
        <v>0.02</v>
      </c>
      <c r="H64" s="32">
        <v>0.28999999999999998</v>
      </c>
      <c r="I64" s="32">
        <f t="shared" ref="I64:J66" si="18">E64/(E64+G64)</f>
        <v>0.98039215686274506</v>
      </c>
      <c r="J64" s="31">
        <f t="shared" si="18"/>
        <v>0.51666666666666672</v>
      </c>
      <c r="K64" s="33">
        <f>-LN(I64)</f>
        <v>1.9802627296179754E-2</v>
      </c>
      <c r="L64" s="33">
        <f t="shared" ref="L64:L66" si="19">-LN(J64)</f>
        <v>0.66035735773695436</v>
      </c>
      <c r="M64" s="34" cm="1">
        <f t="array" ref="M64:N68">LINEST(L64:L66,K64:K66,FALSE,TRUE)</f>
        <v>21.433723923125104</v>
      </c>
      <c r="N64" s="34">
        <v>0</v>
      </c>
      <c r="O64" s="176">
        <f>TINV(0.32,N67)*M65</f>
        <v>2.9825601153815087</v>
      </c>
      <c r="P64" s="179">
        <f>O64*100/M64</f>
        <v>13.915267949138732</v>
      </c>
      <c r="Q64" s="173">
        <f>-1.99*273*LN(M64)/1000</f>
        <v>-1.6651038429774603</v>
      </c>
      <c r="R64" s="173">
        <f>ABS(1.99*273*O64/M64/1000)</f>
        <v>7.5597476187285989E-2</v>
      </c>
      <c r="S64" s="77"/>
    </row>
    <row r="65" spans="1:32">
      <c r="A65" s="183"/>
      <c r="B65" s="22">
        <v>0.2</v>
      </c>
      <c r="C65" s="22">
        <v>0.2</v>
      </c>
      <c r="D65" s="15">
        <v>0.08</v>
      </c>
      <c r="E65" s="23">
        <v>1</v>
      </c>
      <c r="F65" s="23">
        <v>9.5000000000000001E-2</v>
      </c>
      <c r="G65" s="23">
        <v>7.0000000000000007E-2</v>
      </c>
      <c r="H65" s="27">
        <v>0.52</v>
      </c>
      <c r="I65" s="24">
        <f t="shared" si="18"/>
        <v>0.93457943925233644</v>
      </c>
      <c r="J65" s="23">
        <f t="shared" si="18"/>
        <v>0.15447154471544716</v>
      </c>
      <c r="K65" s="25">
        <f>-LN(I65)</f>
        <v>6.7658648473814809E-2</v>
      </c>
      <c r="L65" s="25">
        <f t="shared" si="19"/>
        <v>1.867745376205977</v>
      </c>
      <c r="M65" s="26">
        <v>2.2740233794354103</v>
      </c>
      <c r="N65" s="26" t="e">
        <v>#N/A</v>
      </c>
      <c r="O65" s="177"/>
      <c r="P65" s="180"/>
      <c r="Q65" s="174"/>
      <c r="R65" s="174"/>
      <c r="S65" s="55"/>
    </row>
    <row r="66" spans="1:32" ht="14">
      <c r="A66" s="183"/>
      <c r="B66" s="22">
        <v>0.2</v>
      </c>
      <c r="C66" s="22">
        <v>0.2</v>
      </c>
      <c r="D66" s="22">
        <v>0.12</v>
      </c>
      <c r="E66" s="23">
        <v>1</v>
      </c>
      <c r="F66" s="23">
        <v>3.5000000000000003E-2</v>
      </c>
      <c r="G66" s="23">
        <v>0.16</v>
      </c>
      <c r="H66" s="27">
        <v>0.64</v>
      </c>
      <c r="I66" s="24">
        <f t="shared" si="18"/>
        <v>0.86206896551724144</v>
      </c>
      <c r="J66" s="23">
        <f t="shared" si="18"/>
        <v>5.185185185185185E-2</v>
      </c>
      <c r="K66" s="25">
        <f>-LN(I66)</f>
        <v>0.14842000511827322</v>
      </c>
      <c r="L66" s="25">
        <f t="shared" si="19"/>
        <v>2.9593646293831162</v>
      </c>
      <c r="M66" s="26">
        <v>0.9779831118173079</v>
      </c>
      <c r="N66" s="26">
        <v>0.37364864678577514</v>
      </c>
      <c r="O66" s="177"/>
      <c r="P66" s="180"/>
      <c r="Q66" s="174"/>
      <c r="R66" s="174"/>
      <c r="S66" s="74"/>
    </row>
    <row r="67" spans="1:32">
      <c r="A67" s="183"/>
      <c r="B67" s="61"/>
      <c r="C67" s="61"/>
      <c r="D67" s="61"/>
      <c r="E67" s="62"/>
      <c r="F67" s="62"/>
      <c r="G67" s="62"/>
      <c r="H67" s="46"/>
      <c r="I67" s="63"/>
      <c r="J67" s="62"/>
      <c r="K67" s="64"/>
      <c r="L67" s="64"/>
      <c r="M67" s="26">
        <v>88.839358559864053</v>
      </c>
      <c r="N67" s="26">
        <v>2</v>
      </c>
      <c r="O67" s="177"/>
      <c r="P67" s="180"/>
      <c r="Q67" s="174"/>
      <c r="R67" s="174"/>
      <c r="S67" s="55"/>
      <c r="T67" s="15"/>
      <c r="U67" s="15"/>
      <c r="V67" s="27"/>
      <c r="W67" s="27"/>
      <c r="X67" s="27"/>
      <c r="Y67" s="27"/>
      <c r="Z67" s="27"/>
      <c r="AA67" s="27"/>
      <c r="AB67" s="51"/>
      <c r="AC67" s="51"/>
      <c r="AD67" s="21"/>
      <c r="AE67" s="15"/>
      <c r="AF67" s="15"/>
    </row>
    <row r="68" spans="1:32">
      <c r="A68" s="196"/>
      <c r="B68" s="45"/>
      <c r="C68" s="45"/>
      <c r="D68" s="45"/>
      <c r="E68" s="46"/>
      <c r="F68" s="46"/>
      <c r="G68" s="46"/>
      <c r="H68" s="46"/>
      <c r="I68" s="46"/>
      <c r="J68" s="46"/>
      <c r="K68" s="47"/>
      <c r="L68" s="47"/>
      <c r="M68" s="26">
        <v>12.403157017410324</v>
      </c>
      <c r="N68" s="26">
        <v>0.27922662248968189</v>
      </c>
      <c r="O68" s="177"/>
      <c r="P68" s="180"/>
      <c r="Q68" s="174"/>
      <c r="R68" s="174"/>
      <c r="S68" s="55"/>
      <c r="T68" s="15"/>
      <c r="U68" s="15"/>
      <c r="V68" s="27"/>
      <c r="W68" s="27"/>
      <c r="X68" s="27"/>
      <c r="Y68" s="27"/>
      <c r="Z68" s="27"/>
      <c r="AA68" s="27"/>
      <c r="AB68" s="51"/>
      <c r="AC68" s="51"/>
      <c r="AD68" s="21"/>
      <c r="AE68" s="15"/>
      <c r="AF68" s="15"/>
    </row>
    <row r="69" spans="1:32" s="38" customFormat="1">
      <c r="A69" s="92" t="s">
        <v>119</v>
      </c>
      <c r="B69" s="35"/>
      <c r="C69" s="35"/>
      <c r="D69" s="35"/>
      <c r="E69" s="36"/>
      <c r="F69" s="36"/>
      <c r="G69" s="36"/>
      <c r="H69" s="36"/>
      <c r="I69" s="36"/>
      <c r="J69" s="36"/>
      <c r="K69" s="37"/>
      <c r="L69" s="37"/>
      <c r="M69" s="52">
        <f>M64*0.56*2/(0.56+0.08)</f>
        <v>37.509016865468936</v>
      </c>
      <c r="N69" s="54"/>
      <c r="O69" s="39">
        <f>O64*0.56/(0.56+0.08)</f>
        <v>2.6097401009588204</v>
      </c>
      <c r="P69" s="40">
        <f>O64*100/M64</f>
        <v>13.915267949138732</v>
      </c>
      <c r="Q69" s="41">
        <f>-1.99*273*LN(M69)/1000</f>
        <v>-1.9691263120891376</v>
      </c>
      <c r="R69" s="41">
        <f>ABS(1.99*273*O69/M69/1000)</f>
        <v>3.7798738093642995E-2</v>
      </c>
      <c r="S69" s="75"/>
      <c r="T69" s="41"/>
      <c r="U69" s="41"/>
      <c r="V69" s="56"/>
      <c r="W69" s="56"/>
      <c r="X69" s="56"/>
      <c r="Y69" s="56"/>
      <c r="Z69" s="56"/>
      <c r="AA69" s="56"/>
      <c r="AB69" s="57"/>
      <c r="AC69" s="57"/>
      <c r="AD69" s="59"/>
      <c r="AE69" s="41"/>
      <c r="AF69" s="41"/>
    </row>
    <row r="70" spans="1:32">
      <c r="A70" s="91" t="s">
        <v>124</v>
      </c>
      <c r="B70" s="42"/>
      <c r="C70" s="42"/>
      <c r="D70" s="42"/>
      <c r="E70" s="43"/>
      <c r="F70" s="43"/>
      <c r="G70" s="43"/>
      <c r="H70" s="43"/>
      <c r="I70" s="43"/>
      <c r="J70" s="43"/>
      <c r="K70" s="44"/>
      <c r="L70" s="44"/>
      <c r="M70" s="60">
        <f>M64*0.08/(0.56+0.08)*2</f>
        <v>5.358430980781276</v>
      </c>
      <c r="N70" s="53"/>
      <c r="O70" s="13">
        <f>O64*0.08/(0.56+0.08)</f>
        <v>0.37282001442268858</v>
      </c>
      <c r="P70" s="14">
        <f>O64*100/M64</f>
        <v>13.915267949138732</v>
      </c>
      <c r="Q70" s="15">
        <f>-1.99*273*LN(M70)/1000</f>
        <v>-0.91197170541185746</v>
      </c>
      <c r="R70" s="15">
        <f>ABS(1.99*273*O70/M70/1000)</f>
        <v>3.7798738093642995E-2</v>
      </c>
      <c r="S70" s="55"/>
      <c r="T70" s="15"/>
      <c r="U70" s="15"/>
      <c r="V70" s="27"/>
      <c r="W70" s="27"/>
      <c r="X70" s="27"/>
      <c r="Y70" s="27"/>
      <c r="Z70" s="27"/>
      <c r="AA70" s="27"/>
      <c r="AB70" s="51"/>
      <c r="AC70" s="51"/>
      <c r="AD70" s="21"/>
      <c r="AE70" s="15"/>
      <c r="AF70" s="15"/>
    </row>
    <row r="71" spans="1:32" s="19" customFormat="1" ht="14">
      <c r="A71" s="182" t="s">
        <v>754</v>
      </c>
      <c r="B71" s="30">
        <v>0.2</v>
      </c>
      <c r="C71" s="30">
        <v>0.2</v>
      </c>
      <c r="D71" s="18">
        <v>0.04</v>
      </c>
      <c r="E71" s="31">
        <v>1</v>
      </c>
      <c r="F71" s="31">
        <v>0.59</v>
      </c>
      <c r="G71" s="31">
        <v>2.8000000000000001E-2</v>
      </c>
      <c r="H71" s="32">
        <v>0.34</v>
      </c>
      <c r="I71" s="32">
        <f t="shared" ref="I71:J73" si="20">E71/(E71+G71)</f>
        <v>0.97276264591439687</v>
      </c>
      <c r="J71" s="31">
        <f t="shared" si="20"/>
        <v>0.63440860215053763</v>
      </c>
      <c r="K71" s="33">
        <f>-LN(I71)</f>
        <v>2.761516703297338E-2</v>
      </c>
      <c r="L71" s="33">
        <f t="shared" ref="L71:L73" si="21">-LN(J71)</f>
        <v>0.45506204924753652</v>
      </c>
      <c r="M71" s="34" cm="1">
        <f t="array" ref="M71:N75">LINEST(L71:L73,K71:K73,FALSE,TRUE)</f>
        <v>18.468038336576679</v>
      </c>
      <c r="N71" s="34">
        <v>0</v>
      </c>
      <c r="O71" s="176">
        <f>TINV(0.32,N74)*M72</f>
        <v>0.97784466269767834</v>
      </c>
      <c r="P71" s="179">
        <f>O71*100/M71</f>
        <v>5.2947944165841285</v>
      </c>
      <c r="Q71" s="173">
        <f>-1.99*273*LN(M71)/1000</f>
        <v>-1.5841979094277034</v>
      </c>
      <c r="R71" s="173">
        <f>ABS(1.99*273*O71/M71/1000)</f>
        <v>2.8765029626976593E-2</v>
      </c>
      <c r="S71" s="73"/>
    </row>
    <row r="72" spans="1:32">
      <c r="A72" s="183"/>
      <c r="B72" s="22">
        <v>0.2</v>
      </c>
      <c r="C72" s="22">
        <v>0.2</v>
      </c>
      <c r="D72" s="15">
        <v>0.08</v>
      </c>
      <c r="E72" s="23">
        <v>1</v>
      </c>
      <c r="F72" s="23">
        <v>0.44</v>
      </c>
      <c r="G72" s="23">
        <v>4.2000000000000003E-2</v>
      </c>
      <c r="H72" s="27">
        <v>0.46</v>
      </c>
      <c r="I72" s="24">
        <f t="shared" si="20"/>
        <v>0.95969289827255277</v>
      </c>
      <c r="J72" s="23">
        <f t="shared" si="20"/>
        <v>0.48888888888888887</v>
      </c>
      <c r="K72" s="25">
        <f>-LN(I72)</f>
        <v>4.1141943331175185E-2</v>
      </c>
      <c r="L72" s="25">
        <f t="shared" si="21"/>
        <v>0.71562003641200389</v>
      </c>
      <c r="M72" s="26">
        <v>0.74554796497244125</v>
      </c>
      <c r="N72" s="26" t="e">
        <v>#N/A</v>
      </c>
      <c r="O72" s="177"/>
      <c r="P72" s="180"/>
      <c r="Q72" s="174"/>
      <c r="R72" s="174"/>
      <c r="S72" s="55"/>
    </row>
    <row r="73" spans="1:32">
      <c r="A73" s="183"/>
      <c r="B73" s="22">
        <v>0.2</v>
      </c>
      <c r="C73" s="22">
        <v>0.2</v>
      </c>
      <c r="D73" s="22">
        <v>0.12</v>
      </c>
      <c r="E73" s="23">
        <v>1</v>
      </c>
      <c r="F73" s="23">
        <v>0.22</v>
      </c>
      <c r="G73" s="23">
        <v>6.8000000000000005E-2</v>
      </c>
      <c r="H73" s="27">
        <v>0.56000000000000005</v>
      </c>
      <c r="I73" s="24">
        <f t="shared" si="20"/>
        <v>0.93632958801498123</v>
      </c>
      <c r="J73" s="23">
        <f t="shared" si="20"/>
        <v>0.28205128205128205</v>
      </c>
      <c r="K73" s="25">
        <f>-LN(I73)</f>
        <v>6.5787740538003139E-2</v>
      </c>
      <c r="L73" s="25">
        <f t="shared" si="21"/>
        <v>1.2656663733312759</v>
      </c>
      <c r="M73" s="26">
        <v>0.99675117442633243</v>
      </c>
      <c r="N73" s="26">
        <v>6.1403847082410146E-2</v>
      </c>
      <c r="O73" s="177"/>
      <c r="P73" s="180"/>
      <c r="Q73" s="174"/>
      <c r="R73" s="174"/>
      <c r="S73" s="55"/>
    </row>
    <row r="74" spans="1:32" s="65" customFormat="1">
      <c r="A74" s="183"/>
      <c r="B74" s="45"/>
      <c r="C74" s="45"/>
      <c r="D74" s="45"/>
      <c r="E74" s="46"/>
      <c r="F74" s="46"/>
      <c r="G74" s="46"/>
      <c r="H74" s="46"/>
      <c r="I74" s="46"/>
      <c r="J74" s="46"/>
      <c r="K74" s="47"/>
      <c r="L74" s="47"/>
      <c r="M74" s="26">
        <v>613.60707235574728</v>
      </c>
      <c r="N74" s="26">
        <v>2</v>
      </c>
      <c r="O74" s="177"/>
      <c r="P74" s="180"/>
      <c r="Q74" s="174"/>
      <c r="R74" s="174"/>
      <c r="S74" s="78"/>
    </row>
    <row r="75" spans="1:32" s="65" customFormat="1">
      <c r="A75" s="184"/>
      <c r="B75" s="42"/>
      <c r="C75" s="45"/>
      <c r="D75" s="45"/>
      <c r="E75" s="46"/>
      <c r="F75" s="46"/>
      <c r="G75" s="46"/>
      <c r="H75" s="46"/>
      <c r="I75" s="46"/>
      <c r="J75" s="46"/>
      <c r="K75" s="47"/>
      <c r="L75" s="47"/>
      <c r="M75" s="26">
        <v>2.3135640088881897</v>
      </c>
      <c r="N75" s="26">
        <v>7.5408648730400174E-3</v>
      </c>
      <c r="O75" s="178"/>
      <c r="P75" s="181"/>
      <c r="Q75" s="175"/>
      <c r="R75" s="175"/>
      <c r="S75" s="78"/>
    </row>
    <row r="76" spans="1:32" s="19" customFormat="1" ht="14">
      <c r="A76" s="182" t="s">
        <v>736</v>
      </c>
      <c r="B76" s="30">
        <v>0.2</v>
      </c>
      <c r="C76" s="30">
        <v>0.2</v>
      </c>
      <c r="D76" s="18">
        <v>0.04</v>
      </c>
      <c r="E76" s="31">
        <v>1</v>
      </c>
      <c r="F76" s="31">
        <v>0.79</v>
      </c>
      <c r="G76" s="31">
        <v>7.0000000000000001E-3</v>
      </c>
      <c r="H76" s="32">
        <v>9.4E-2</v>
      </c>
      <c r="I76" s="32">
        <f t="shared" ref="I76:J78" si="22">E76/(E76+G76)</f>
        <v>0.99304865938430997</v>
      </c>
      <c r="J76" s="31">
        <f t="shared" si="22"/>
        <v>0.89366515837104077</v>
      </c>
      <c r="K76" s="33">
        <f t="shared" ref="K76:L78" si="23">-LN(I76)</f>
        <v>6.9756137364250992E-3</v>
      </c>
      <c r="L76" s="33">
        <f t="shared" si="23"/>
        <v>0.1124241171765762</v>
      </c>
      <c r="M76" s="34" cm="1">
        <f t="array" ref="M76:N80">LINEST(L76:L78,K76:K78,FALSE,TRUE)</f>
        <v>14.979895051239408</v>
      </c>
      <c r="N76" s="34">
        <v>0</v>
      </c>
      <c r="O76" s="176">
        <f>TINV(0.32,N79)*M77</f>
        <v>0.3333187404810497</v>
      </c>
      <c r="P76" s="179">
        <f>O76*100/M76</f>
        <v>2.2251073144432447</v>
      </c>
      <c r="Q76" s="173">
        <f>-1.99*273*LN(M76)/1000</f>
        <v>-1.4704737832940951</v>
      </c>
      <c r="R76" s="173">
        <f>ABS(1.99*273*O76/M76/1000)</f>
        <v>1.2088340507175815E-2</v>
      </c>
      <c r="S76" s="73"/>
    </row>
    <row r="77" spans="1:32" ht="14">
      <c r="A77" s="183"/>
      <c r="B77" s="22">
        <v>0.2</v>
      </c>
      <c r="C77" s="22">
        <v>0.2</v>
      </c>
      <c r="D77" s="15">
        <v>0.06</v>
      </c>
      <c r="E77" s="23">
        <v>1</v>
      </c>
      <c r="F77" s="23">
        <v>0.21</v>
      </c>
      <c r="G77" s="23">
        <v>0.1</v>
      </c>
      <c r="H77" s="27">
        <v>0.73</v>
      </c>
      <c r="I77" s="24">
        <f t="shared" si="22"/>
        <v>0.90909090909090906</v>
      </c>
      <c r="J77" s="23">
        <f t="shared" si="22"/>
        <v>0.22340425531914895</v>
      </c>
      <c r="K77" s="25">
        <f t="shared" si="23"/>
        <v>9.5310179804324893E-2</v>
      </c>
      <c r="L77" s="25">
        <f t="shared" si="23"/>
        <v>1.4987723445465808</v>
      </c>
      <c r="M77" s="26">
        <v>0.25413556787971603</v>
      </c>
      <c r="N77" s="26" t="e">
        <v>#N/A</v>
      </c>
      <c r="O77" s="177"/>
      <c r="P77" s="180"/>
      <c r="Q77" s="174"/>
      <c r="R77" s="174"/>
      <c r="S77" s="74"/>
    </row>
    <row r="78" spans="1:32">
      <c r="A78" s="183"/>
      <c r="B78" s="22">
        <v>0.2</v>
      </c>
      <c r="C78" s="22">
        <v>0.2</v>
      </c>
      <c r="D78" s="22">
        <v>0.08</v>
      </c>
      <c r="E78" s="23">
        <v>1</v>
      </c>
      <c r="F78" s="23">
        <v>4.4999999999999998E-2</v>
      </c>
      <c r="G78" s="23">
        <v>0.22</v>
      </c>
      <c r="H78" s="27">
        <v>0.81</v>
      </c>
      <c r="I78" s="24">
        <f t="shared" si="22"/>
        <v>0.81967213114754101</v>
      </c>
      <c r="J78" s="23">
        <f t="shared" si="22"/>
        <v>5.2631578947368411E-2</v>
      </c>
      <c r="K78" s="25">
        <f t="shared" si="23"/>
        <v>0.19885085874516517</v>
      </c>
      <c r="L78" s="25">
        <f t="shared" si="23"/>
        <v>2.9444389791664407</v>
      </c>
      <c r="M78" s="26">
        <v>0.99942470124207428</v>
      </c>
      <c r="N78" s="26">
        <v>5.6068062382674956E-2</v>
      </c>
      <c r="O78" s="177"/>
      <c r="P78" s="180"/>
      <c r="Q78" s="174"/>
      <c r="R78" s="174"/>
      <c r="S78" s="55"/>
    </row>
    <row r="79" spans="1:32">
      <c r="A79" s="183"/>
      <c r="B79" s="45"/>
      <c r="C79" s="45"/>
      <c r="D79" s="45"/>
      <c r="E79" s="46"/>
      <c r="F79" s="46"/>
      <c r="G79" s="46"/>
      <c r="H79" s="46"/>
      <c r="I79" s="46"/>
      <c r="J79" s="46"/>
      <c r="K79" s="47"/>
      <c r="L79" s="47"/>
      <c r="M79" s="26">
        <v>3474.4545767680902</v>
      </c>
      <c r="N79" s="26">
        <v>2</v>
      </c>
      <c r="O79" s="177"/>
      <c r="P79" s="180"/>
      <c r="Q79" s="174"/>
      <c r="R79" s="174"/>
      <c r="S79" s="55"/>
    </row>
    <row r="80" spans="1:32">
      <c r="A80" s="184"/>
      <c r="B80" s="42"/>
      <c r="C80" s="45"/>
      <c r="D80" s="45"/>
      <c r="E80" s="46"/>
      <c r="F80" s="46"/>
      <c r="G80" s="46"/>
      <c r="H80" s="46"/>
      <c r="I80" s="46"/>
      <c r="J80" s="46"/>
      <c r="K80" s="47"/>
      <c r="L80" s="47"/>
      <c r="M80" s="26">
        <v>10.922391369696603</v>
      </c>
      <c r="N80" s="26">
        <v>6.2872552386950614E-3</v>
      </c>
      <c r="O80" s="178"/>
      <c r="P80" s="181"/>
      <c r="Q80" s="175"/>
      <c r="R80" s="175"/>
      <c r="S80" s="55"/>
    </row>
    <row r="81" spans="1:19" s="19" customFormat="1">
      <c r="A81" s="182" t="s">
        <v>755</v>
      </c>
      <c r="B81" s="30">
        <v>0.2</v>
      </c>
      <c r="C81" s="30">
        <v>0.2</v>
      </c>
      <c r="D81" s="18">
        <v>0.04</v>
      </c>
      <c r="E81" s="31">
        <v>1</v>
      </c>
      <c r="F81" s="31">
        <v>0.53</v>
      </c>
      <c r="G81" s="31">
        <v>0.06</v>
      </c>
      <c r="H81" s="32">
        <v>0.44</v>
      </c>
      <c r="I81" s="32">
        <f t="shared" ref="I81:J83" si="24">E81/(E81+G81)</f>
        <v>0.94339622641509424</v>
      </c>
      <c r="J81" s="31">
        <f t="shared" si="24"/>
        <v>0.54639175257731964</v>
      </c>
      <c r="K81" s="33">
        <f t="shared" ref="K81:L83" si="25">-LN(I81)</f>
        <v>5.8268908123975879E-2</v>
      </c>
      <c r="L81" s="33">
        <f t="shared" si="25"/>
        <v>0.60441906495126085</v>
      </c>
      <c r="M81" s="34" cm="1">
        <f t="array" ref="M81:N85">LINEST(L81:L83,K81:K83,FALSE,TRUE)</f>
        <v>14.786248618460263</v>
      </c>
      <c r="N81" s="34">
        <v>0</v>
      </c>
      <c r="O81" s="176">
        <f t="shared" ref="O81" si="26">TINV(0.32,N84)*M82</f>
        <v>1.6301952213195072</v>
      </c>
      <c r="P81" s="179">
        <f>O81*100/M81</f>
        <v>11.025076497660462</v>
      </c>
      <c r="Q81" s="173">
        <f>-1.99*273*LN(M81)/1000</f>
        <v>-1.4634050959363298</v>
      </c>
      <c r="R81" s="173">
        <f>ABS(1.99*273*O81/M81/1000)</f>
        <v>5.9895933088839989E-2</v>
      </c>
      <c r="S81" s="77"/>
    </row>
    <row r="82" spans="1:19">
      <c r="A82" s="183"/>
      <c r="B82" s="22">
        <v>0.2</v>
      </c>
      <c r="C82" s="22">
        <v>0.2</v>
      </c>
      <c r="D82" s="15">
        <v>0.06</v>
      </c>
      <c r="E82" s="23">
        <v>1</v>
      </c>
      <c r="F82" s="23">
        <v>0.38</v>
      </c>
      <c r="G82" s="23">
        <v>0.08</v>
      </c>
      <c r="H82" s="27">
        <v>0.67</v>
      </c>
      <c r="I82" s="24">
        <f t="shared" si="24"/>
        <v>0.92592592592592582</v>
      </c>
      <c r="J82" s="23">
        <f t="shared" si="24"/>
        <v>0.3619047619047619</v>
      </c>
      <c r="K82" s="25">
        <f t="shared" si="25"/>
        <v>7.6961041136128436E-2</v>
      </c>
      <c r="L82" s="25">
        <f t="shared" si="25"/>
        <v>1.0163741904311376</v>
      </c>
      <c r="M82" s="26">
        <v>1.2429261784888634</v>
      </c>
      <c r="N82" s="26" t="e">
        <v>#N/A</v>
      </c>
      <c r="O82" s="177"/>
      <c r="P82" s="180"/>
      <c r="Q82" s="174"/>
      <c r="R82" s="174"/>
      <c r="S82" s="55"/>
    </row>
    <row r="83" spans="1:19">
      <c r="A83" s="183"/>
      <c r="B83" s="22">
        <v>0.2</v>
      </c>
      <c r="C83" s="22">
        <v>0.2</v>
      </c>
      <c r="D83" s="22">
        <v>0.08</v>
      </c>
      <c r="E83" s="23">
        <v>1</v>
      </c>
      <c r="F83" s="23">
        <v>0.1</v>
      </c>
      <c r="G83" s="23">
        <v>0.17</v>
      </c>
      <c r="H83" s="27">
        <v>1.0900000000000001</v>
      </c>
      <c r="I83" s="24">
        <f t="shared" si="24"/>
        <v>0.85470085470085477</v>
      </c>
      <c r="J83" s="23">
        <f t="shared" si="24"/>
        <v>8.4033613445378144E-2</v>
      </c>
      <c r="K83" s="25">
        <f t="shared" si="25"/>
        <v>0.15700374880966467</v>
      </c>
      <c r="L83" s="25">
        <f t="shared" si="25"/>
        <v>2.4765384001174837</v>
      </c>
      <c r="M83" s="26">
        <v>0.98606489784991624</v>
      </c>
      <c r="N83" s="26">
        <v>0.22907788570738541</v>
      </c>
      <c r="O83" s="177"/>
      <c r="P83" s="180"/>
      <c r="Q83" s="174"/>
      <c r="R83" s="174"/>
      <c r="S83" s="55"/>
    </row>
    <row r="84" spans="1:19">
      <c r="A84" s="183"/>
      <c r="B84" s="45"/>
      <c r="C84" s="45"/>
      <c r="D84" s="45"/>
      <c r="E84" s="46"/>
      <c r="F84" s="46"/>
      <c r="G84" s="46"/>
      <c r="H84" s="46"/>
      <c r="I84" s="46"/>
      <c r="J84" s="46"/>
      <c r="K84" s="47"/>
      <c r="L84" s="47"/>
      <c r="M84" s="26">
        <v>141.52244988659618</v>
      </c>
      <c r="N84" s="26">
        <v>2</v>
      </c>
      <c r="O84" s="177"/>
      <c r="P84" s="180"/>
      <c r="Q84" s="174"/>
      <c r="R84" s="174"/>
      <c r="S84" s="55"/>
    </row>
    <row r="85" spans="1:19">
      <c r="A85" s="184"/>
      <c r="B85" s="42"/>
      <c r="C85" s="45"/>
      <c r="D85" s="45"/>
      <c r="E85" s="46"/>
      <c r="F85" s="46"/>
      <c r="G85" s="46"/>
      <c r="H85" s="46"/>
      <c r="I85" s="46"/>
      <c r="J85" s="46"/>
      <c r="K85" s="47"/>
      <c r="L85" s="47"/>
      <c r="M85" s="26">
        <v>7.4266279928672407</v>
      </c>
      <c r="N85" s="26">
        <v>0.10495335544033185</v>
      </c>
      <c r="O85" s="178"/>
      <c r="P85" s="181"/>
      <c r="Q85" s="175"/>
      <c r="R85" s="175"/>
      <c r="S85" s="55"/>
    </row>
    <row r="86" spans="1:19" s="19" customFormat="1">
      <c r="A86" s="161" t="s">
        <v>451</v>
      </c>
      <c r="B86" s="118">
        <v>0.2</v>
      </c>
      <c r="C86" s="118">
        <v>0.2</v>
      </c>
      <c r="D86" s="119">
        <v>0.04</v>
      </c>
      <c r="E86" s="120">
        <v>1</v>
      </c>
      <c r="F86" s="120">
        <f>1.3383/2</f>
        <v>0.66915000000000002</v>
      </c>
      <c r="G86" s="120">
        <v>1.2500000000000001E-2</v>
      </c>
      <c r="H86" s="121">
        <v>0.28770000000000001</v>
      </c>
      <c r="I86" s="121">
        <f t="shared" ref="I86:I88" si="27">E86/(E86+G86)</f>
        <v>0.98765432098765438</v>
      </c>
      <c r="J86" s="120">
        <f t="shared" ref="J86:J88" si="28">F86/(F86+H86)</f>
        <v>0.69932591315253179</v>
      </c>
      <c r="K86" s="122">
        <f t="shared" ref="K86:K88" si="29">-LN(I86)</f>
        <v>1.2422519998557096E-2</v>
      </c>
      <c r="L86" s="122">
        <f t="shared" ref="L86:L88" si="30">-LN(J86)</f>
        <v>0.3576383891136905</v>
      </c>
      <c r="M86" s="123" cm="1">
        <f t="array" ref="M86:N90">LINEST(L86:L88,K86:K88,FALSE,TRUE)</f>
        <v>13.178348906374795</v>
      </c>
      <c r="N86" s="123">
        <v>0</v>
      </c>
      <c r="O86" s="164">
        <f>TINV(0.32,N89)*M87</f>
        <v>2.9539429286851977</v>
      </c>
      <c r="P86" s="167">
        <f>O86*100/M86</f>
        <v>22.415121573054417</v>
      </c>
      <c r="Q86" s="170">
        <f>-1.99*273*LN(M86)/1000</f>
        <v>-1.4008625752904258</v>
      </c>
      <c r="R86" s="170">
        <f>ABS(1.99*273*O86/M86/1000)</f>
        <v>0.12177463096993273</v>
      </c>
      <c r="S86" s="124"/>
    </row>
    <row r="87" spans="1:19">
      <c r="A87" s="162" t="s">
        <v>821</v>
      </c>
      <c r="B87" s="125">
        <v>0.2</v>
      </c>
      <c r="C87" s="125">
        <v>0.2</v>
      </c>
      <c r="D87" s="126">
        <v>0.08</v>
      </c>
      <c r="E87" s="127">
        <v>1</v>
      </c>
      <c r="F87" s="127">
        <f>0.7594/2</f>
        <v>0.37969999999999998</v>
      </c>
      <c r="G87" s="127">
        <v>1.9599999999999999E-2</v>
      </c>
      <c r="H87" s="128">
        <v>0.4723</v>
      </c>
      <c r="I87" s="129">
        <f t="shared" si="27"/>
        <v>0.98077677520596307</v>
      </c>
      <c r="J87" s="127">
        <f t="shared" si="28"/>
        <v>0.44565727699530516</v>
      </c>
      <c r="K87" s="130">
        <f t="shared" si="29"/>
        <v>1.941039351982338E-2</v>
      </c>
      <c r="L87" s="130">
        <f t="shared" si="30"/>
        <v>0.80820505959155908</v>
      </c>
      <c r="M87" s="131">
        <v>2.2522044892593258</v>
      </c>
      <c r="N87" s="131" t="e">
        <v>#N/A</v>
      </c>
      <c r="O87" s="165"/>
      <c r="P87" s="168"/>
      <c r="Q87" s="171"/>
      <c r="R87" s="171"/>
      <c r="S87" s="132"/>
    </row>
    <row r="88" spans="1:19">
      <c r="A88" s="162" t="s">
        <v>822</v>
      </c>
      <c r="B88" s="125">
        <v>0.2</v>
      </c>
      <c r="C88" s="125">
        <v>0.2</v>
      </c>
      <c r="D88" s="125">
        <v>0.12</v>
      </c>
      <c r="E88" s="127">
        <v>1</v>
      </c>
      <c r="F88" s="127">
        <f>0.2141/2</f>
        <v>0.10705000000000001</v>
      </c>
      <c r="G88" s="127">
        <v>0.20169999999999999</v>
      </c>
      <c r="H88" s="128">
        <v>1.0153000000000001</v>
      </c>
      <c r="I88" s="129">
        <f t="shared" si="27"/>
        <v>0.83215444786552384</v>
      </c>
      <c r="J88" s="127">
        <f t="shared" si="28"/>
        <v>9.5380228983828558E-2</v>
      </c>
      <c r="K88" s="130">
        <f t="shared" si="29"/>
        <v>0.18373722093511702</v>
      </c>
      <c r="L88" s="130">
        <f t="shared" si="30"/>
        <v>2.3498839653618626</v>
      </c>
      <c r="M88" s="131">
        <v>0.94480907317576845</v>
      </c>
      <c r="N88" s="131">
        <v>0.41705602925733898</v>
      </c>
      <c r="O88" s="165"/>
      <c r="P88" s="168"/>
      <c r="Q88" s="171"/>
      <c r="R88" s="171"/>
      <c r="S88" s="132"/>
    </row>
    <row r="89" spans="1:19">
      <c r="A89" s="162"/>
      <c r="B89" s="133"/>
      <c r="C89" s="133"/>
      <c r="D89" s="133"/>
      <c r="E89" s="134"/>
      <c r="F89" s="134"/>
      <c r="G89" s="134"/>
      <c r="H89" s="134"/>
      <c r="I89" s="134"/>
      <c r="J89" s="134"/>
      <c r="K89" s="135"/>
      <c r="L89" s="135"/>
      <c r="M89" s="131">
        <v>34.237840440140914</v>
      </c>
      <c r="N89" s="131">
        <v>2</v>
      </c>
      <c r="O89" s="165"/>
      <c r="P89" s="168"/>
      <c r="Q89" s="171"/>
      <c r="R89" s="171"/>
      <c r="S89" s="132"/>
    </row>
    <row r="90" spans="1:19">
      <c r="A90" s="163"/>
      <c r="B90" s="133"/>
      <c r="C90" s="133"/>
      <c r="D90" s="133"/>
      <c r="E90" s="134"/>
      <c r="F90" s="134"/>
      <c r="G90" s="134"/>
      <c r="H90" s="134"/>
      <c r="I90" s="134"/>
      <c r="J90" s="134"/>
      <c r="K90" s="135"/>
      <c r="L90" s="135"/>
      <c r="M90" s="131">
        <v>5.9551838233022263</v>
      </c>
      <c r="N90" s="131">
        <v>0.34787146307979677</v>
      </c>
      <c r="O90" s="166"/>
      <c r="P90" s="169"/>
      <c r="Q90" s="172"/>
      <c r="R90" s="172"/>
      <c r="S90" s="136"/>
    </row>
    <row r="91" spans="1:19" s="19" customFormat="1">
      <c r="A91" s="161" t="s">
        <v>870</v>
      </c>
      <c r="B91" s="118">
        <v>0.2</v>
      </c>
      <c r="C91" s="118">
        <v>0.2</v>
      </c>
      <c r="D91" s="119">
        <v>0.04</v>
      </c>
      <c r="E91" s="120">
        <v>1</v>
      </c>
      <c r="F91" s="120">
        <f>1.8446/4</f>
        <v>0.46115</v>
      </c>
      <c r="G91" s="120">
        <v>4.7000000000000002E-3</v>
      </c>
      <c r="H91" s="121">
        <v>0.27229999999999999</v>
      </c>
      <c r="I91" s="121">
        <f t="shared" ref="I91:I93" si="31">E91/(E91+G91)</f>
        <v>0.99532198666268545</v>
      </c>
      <c r="J91" s="120">
        <f t="shared" ref="J91:J93" si="32">F91/(F91+H91)</f>
        <v>0.6287408821323881</v>
      </c>
      <c r="K91" s="122">
        <f t="shared" ref="K91:K93" si="33">-LN(I91)</f>
        <v>4.6889894861314669E-3</v>
      </c>
      <c r="L91" s="122">
        <f t="shared" ref="L91:L93" si="34">-LN(J91)</f>
        <v>0.46403605925204378</v>
      </c>
      <c r="M91" s="123" cm="1">
        <f t="array" ref="M91:N95">LINEST(L91:L93,K91:K93,FALSE,TRUE)</f>
        <v>12.608929838669312</v>
      </c>
      <c r="N91" s="123">
        <v>0</v>
      </c>
      <c r="O91" s="164">
        <f>TINV(0.32,N94)*M92</f>
        <v>5.2792719202745184</v>
      </c>
      <c r="P91" s="167">
        <f>O91*100/M91</f>
        <v>41.869309987624362</v>
      </c>
      <c r="Q91" s="170">
        <f>-1.99*273*LN(M91)/1000</f>
        <v>-1.3768663566234689</v>
      </c>
      <c r="R91" s="170">
        <f>ABS(1.99*273*O91/M91/1000)</f>
        <v>0.22746340036976687</v>
      </c>
      <c r="S91" s="124"/>
    </row>
    <row r="92" spans="1:19">
      <c r="A92" s="162" t="s">
        <v>821</v>
      </c>
      <c r="B92" s="125">
        <v>0.2</v>
      </c>
      <c r="C92" s="125">
        <v>0.2</v>
      </c>
      <c r="D92" s="126">
        <v>0.08</v>
      </c>
      <c r="E92" s="127">
        <v>1</v>
      </c>
      <c r="F92" s="127">
        <f>0.531/4</f>
        <v>0.13275000000000001</v>
      </c>
      <c r="G92" s="127">
        <v>2.3900000000000001E-2</v>
      </c>
      <c r="H92" s="128">
        <v>0.72389999999999999</v>
      </c>
      <c r="I92" s="129">
        <f t="shared" si="31"/>
        <v>0.97665787674577598</v>
      </c>
      <c r="J92" s="127">
        <f t="shared" si="32"/>
        <v>0.15496410436000702</v>
      </c>
      <c r="K92" s="130">
        <f t="shared" si="33"/>
        <v>2.3618865598633975E-2</v>
      </c>
      <c r="L92" s="130">
        <f t="shared" si="34"/>
        <v>1.8645617736569333</v>
      </c>
      <c r="M92" s="131">
        <v>4.0251285166688104</v>
      </c>
      <c r="N92" s="131" t="e">
        <v>#N/A</v>
      </c>
      <c r="O92" s="165"/>
      <c r="P92" s="168"/>
      <c r="Q92" s="171"/>
      <c r="R92" s="171"/>
      <c r="S92" s="132"/>
    </row>
    <row r="93" spans="1:19">
      <c r="A93" s="162" t="s">
        <v>822</v>
      </c>
      <c r="B93" s="125">
        <v>0.2</v>
      </c>
      <c r="C93" s="125">
        <v>0.2</v>
      </c>
      <c r="D93" s="125">
        <v>0.12</v>
      </c>
      <c r="E93" s="127">
        <v>1</v>
      </c>
      <c r="F93" s="127">
        <f>0.1373/4</f>
        <v>3.4325000000000001E-2</v>
      </c>
      <c r="G93" s="127">
        <v>0.32879999999999998</v>
      </c>
      <c r="H93" s="128">
        <v>1.0443</v>
      </c>
      <c r="I93" s="129">
        <f t="shared" si="31"/>
        <v>0.75255869957856714</v>
      </c>
      <c r="J93" s="127">
        <f t="shared" si="32"/>
        <v>3.1822922702514779E-2</v>
      </c>
      <c r="K93" s="130">
        <f t="shared" si="33"/>
        <v>0.28427627931694804</v>
      </c>
      <c r="L93" s="130">
        <f t="shared" si="34"/>
        <v>3.4475684091744365</v>
      </c>
      <c r="M93" s="131">
        <v>0.83069342796095702</v>
      </c>
      <c r="N93" s="131">
        <v>1.1483462423560222</v>
      </c>
      <c r="O93" s="165"/>
      <c r="P93" s="168"/>
      <c r="Q93" s="171"/>
      <c r="R93" s="171"/>
      <c r="S93" s="132"/>
    </row>
    <row r="94" spans="1:19">
      <c r="A94" s="162"/>
      <c r="B94" s="133"/>
      <c r="C94" s="133"/>
      <c r="D94" s="133"/>
      <c r="E94" s="134"/>
      <c r="F94" s="134"/>
      <c r="G94" s="134"/>
      <c r="H94" s="134"/>
      <c r="I94" s="134"/>
      <c r="J94" s="134"/>
      <c r="K94" s="135"/>
      <c r="L94" s="135"/>
      <c r="M94" s="131">
        <v>9.8128905211003215</v>
      </c>
      <c r="N94" s="131">
        <v>2</v>
      </c>
      <c r="O94" s="165"/>
      <c r="P94" s="168"/>
      <c r="Q94" s="171"/>
      <c r="R94" s="171"/>
      <c r="S94" s="132"/>
    </row>
    <row r="95" spans="1:19">
      <c r="A95" s="163"/>
      <c r="B95" s="133"/>
      <c r="C95" s="133"/>
      <c r="D95" s="133"/>
      <c r="E95" s="134"/>
      <c r="F95" s="134"/>
      <c r="G95" s="134"/>
      <c r="H95" s="134"/>
      <c r="I95" s="134"/>
      <c r="J95" s="134"/>
      <c r="K95" s="135"/>
      <c r="L95" s="135"/>
      <c r="M95" s="131">
        <v>12.940249823340018</v>
      </c>
      <c r="N95" s="131">
        <v>2.6373981846663921</v>
      </c>
      <c r="O95" s="166"/>
      <c r="P95" s="169"/>
      <c r="Q95" s="172"/>
      <c r="R95" s="172"/>
      <c r="S95" s="136"/>
    </row>
    <row r="96" spans="1:19">
      <c r="A96" s="161" t="s">
        <v>932</v>
      </c>
      <c r="B96" s="118">
        <v>0.2</v>
      </c>
      <c r="C96" s="118">
        <v>0.2</v>
      </c>
      <c r="D96" s="119">
        <v>0.04</v>
      </c>
      <c r="E96" s="120">
        <v>1</v>
      </c>
      <c r="F96" s="120">
        <f>2.5034/3</f>
        <v>0.83446666666666669</v>
      </c>
      <c r="G96" s="120">
        <v>1.7299999999999999E-2</v>
      </c>
      <c r="H96" s="121">
        <v>0.1507</v>
      </c>
      <c r="I96" s="121">
        <f t="shared" ref="I96:I99" si="35">E96/(E96+G96)</f>
        <v>0.98299420033421792</v>
      </c>
      <c r="J96" s="120">
        <f t="shared" ref="J96:J99" si="36">F96/(F96+H96)</f>
        <v>0.84703095922855687</v>
      </c>
      <c r="K96" s="122">
        <f t="shared" ref="K96:K99" si="37">-LN(I96)</f>
        <v>1.7152058817565683E-2</v>
      </c>
      <c r="L96" s="122">
        <f t="shared" ref="L96:L99" si="38">-LN(J96)</f>
        <v>0.16601803337050114</v>
      </c>
      <c r="M96" s="123" cm="1">
        <f t="array" ref="M96:N100">LINEST(L96:L99,K96:K99,FALSE,TRUE)</f>
        <v>9.2531389648477607</v>
      </c>
      <c r="N96" s="123">
        <v>0</v>
      </c>
      <c r="O96" s="164">
        <f>TINV(0.32,N99)*M97</f>
        <v>6.8405668025114025E-2</v>
      </c>
      <c r="P96" s="167">
        <f>O96*100/M96</f>
        <v>0.73926986598800615</v>
      </c>
      <c r="Q96" s="170">
        <f>-1.99*273*LN(M96)/1000</f>
        <v>-1.2087555629071842</v>
      </c>
      <c r="R96" s="170">
        <f>ABS(1.99*273*O96/M96/1000)</f>
        <v>4.016231400953041E-3</v>
      </c>
      <c r="S96" s="124"/>
    </row>
    <row r="97" spans="1:19">
      <c r="A97" s="162"/>
      <c r="B97" s="125">
        <v>0.2</v>
      </c>
      <c r="C97" s="125">
        <v>0.2</v>
      </c>
      <c r="D97" s="126">
        <v>0.08</v>
      </c>
      <c r="E97" s="127">
        <v>1</v>
      </c>
      <c r="F97" s="127">
        <f>2.1124/3</f>
        <v>0.70413333333333339</v>
      </c>
      <c r="G97" s="127">
        <v>4.0599999999999997E-2</v>
      </c>
      <c r="H97" s="128">
        <v>0.3085</v>
      </c>
      <c r="I97" s="129">
        <f t="shared" si="35"/>
        <v>0.96098404766480883</v>
      </c>
      <c r="J97" s="127">
        <f t="shared" si="36"/>
        <v>0.69534876065703277</v>
      </c>
      <c r="K97" s="130">
        <f t="shared" si="37"/>
        <v>3.9797469874066023E-2</v>
      </c>
      <c r="L97" s="130">
        <f t="shared" si="38"/>
        <v>0.36334174538882041</v>
      </c>
      <c r="M97" s="131">
        <v>5.7535554217796263E-2</v>
      </c>
      <c r="N97" s="131" t="e">
        <v>#N/A</v>
      </c>
      <c r="O97" s="165"/>
      <c r="P97" s="168"/>
      <c r="Q97" s="171"/>
      <c r="R97" s="171"/>
      <c r="S97" s="132"/>
    </row>
    <row r="98" spans="1:19">
      <c r="A98" s="162"/>
      <c r="B98" s="125">
        <v>0.2</v>
      </c>
      <c r="C98" s="125">
        <v>0.2</v>
      </c>
      <c r="D98" s="125">
        <v>0.12</v>
      </c>
      <c r="E98" s="127">
        <v>1</v>
      </c>
      <c r="F98" s="127">
        <f>1.8366/3</f>
        <v>0.61219999999999997</v>
      </c>
      <c r="G98" s="127">
        <v>5.8299999999999998E-2</v>
      </c>
      <c r="H98" s="128">
        <v>0.41889999999999999</v>
      </c>
      <c r="I98" s="129">
        <f t="shared" si="35"/>
        <v>0.94491165076065387</v>
      </c>
      <c r="J98" s="127">
        <f t="shared" si="36"/>
        <v>0.59373484628067119</v>
      </c>
      <c r="K98" s="130">
        <f t="shared" si="37"/>
        <v>5.6663847117541757E-2</v>
      </c>
      <c r="L98" s="130">
        <f t="shared" si="38"/>
        <v>0.52132244601258571</v>
      </c>
      <c r="M98" s="131">
        <v>0.99988402475008442</v>
      </c>
      <c r="N98" s="131">
        <v>5.7275288914279375E-3</v>
      </c>
      <c r="O98" s="165"/>
      <c r="P98" s="168"/>
      <c r="Q98" s="171"/>
      <c r="R98" s="171"/>
      <c r="S98" s="132"/>
    </row>
    <row r="99" spans="1:19">
      <c r="A99" s="162"/>
      <c r="B99" s="133"/>
      <c r="C99" s="133"/>
      <c r="D99" s="133"/>
      <c r="E99" s="134">
        <v>1</v>
      </c>
      <c r="F99" s="134">
        <f>1.6488/3</f>
        <v>0.54959999999999998</v>
      </c>
      <c r="G99" s="134">
        <v>7.1900000000000006E-2</v>
      </c>
      <c r="H99" s="134">
        <v>0.49890000000000001</v>
      </c>
      <c r="I99" s="129">
        <f t="shared" si="35"/>
        <v>0.93292284728052988</v>
      </c>
      <c r="J99" s="127">
        <f t="shared" si="36"/>
        <v>0.52417739628040061</v>
      </c>
      <c r="K99" s="130">
        <f t="shared" si="37"/>
        <v>6.9432774715336779E-2</v>
      </c>
      <c r="L99" s="130">
        <f t="shared" si="38"/>
        <v>0.64592510943383497</v>
      </c>
      <c r="M99" s="131">
        <v>25864.588146472961</v>
      </c>
      <c r="N99" s="131">
        <v>3</v>
      </c>
      <c r="O99" s="165"/>
      <c r="P99" s="168"/>
      <c r="Q99" s="171"/>
      <c r="R99" s="171"/>
      <c r="S99" s="132"/>
    </row>
    <row r="100" spans="1:19">
      <c r="A100" s="163"/>
      <c r="B100" s="133"/>
      <c r="C100" s="133"/>
      <c r="D100" s="133"/>
      <c r="E100" s="134"/>
      <c r="F100" s="134"/>
      <c r="G100" s="134"/>
      <c r="H100" s="134"/>
      <c r="I100" s="134"/>
      <c r="J100" s="134"/>
      <c r="K100" s="135"/>
      <c r="L100" s="135"/>
      <c r="M100" s="131">
        <v>0.84847713729845375</v>
      </c>
      <c r="N100" s="131">
        <v>9.8413761606425205E-5</v>
      </c>
      <c r="O100" s="166"/>
      <c r="P100" s="169"/>
      <c r="Q100" s="172"/>
      <c r="R100" s="172"/>
      <c r="S100" s="136"/>
    </row>
    <row r="101" spans="1:19" s="19" customFormat="1">
      <c r="A101" s="182" t="s">
        <v>756</v>
      </c>
      <c r="B101" s="30">
        <v>0.2</v>
      </c>
      <c r="C101" s="30">
        <v>0.2</v>
      </c>
      <c r="D101" s="18">
        <v>0.04</v>
      </c>
      <c r="E101" s="31">
        <v>1</v>
      </c>
      <c r="F101" s="31">
        <v>0.81</v>
      </c>
      <c r="G101" s="31">
        <v>2.1999999999999999E-2</v>
      </c>
      <c r="H101" s="32">
        <v>0.15</v>
      </c>
      <c r="I101" s="32">
        <f>E101/(E101+G101)</f>
        <v>0.97847358121330719</v>
      </c>
      <c r="J101" s="31">
        <f>F101/(F101+H101)</f>
        <v>0.84375</v>
      </c>
      <c r="K101" s="33">
        <f>-LN(I101)</f>
        <v>2.1761491781512748E-2</v>
      </c>
      <c r="L101" s="33">
        <f t="shared" ref="L101:L102" si="39">-LN(J101)</f>
        <v>0.16989903679539747</v>
      </c>
      <c r="M101" s="34" cm="1">
        <f t="array" ref="M101:N105">LINEST(L101:L102,K101:K102,FALSE,TRUE)</f>
        <v>8.848623570159722</v>
      </c>
      <c r="N101" s="34">
        <v>0</v>
      </c>
      <c r="O101" s="176">
        <f t="shared" ref="O101" si="40">TINV(0.32,N104)*M102</f>
        <v>0.84481726727539508</v>
      </c>
      <c r="P101" s="179">
        <f>O101*100/M101</f>
        <v>9.54744272458802</v>
      </c>
      <c r="Q101" s="173">
        <f>-1.99*273*LN(M101)/1000</f>
        <v>-1.1844708922616534</v>
      </c>
      <c r="R101" s="173">
        <f>ABS(1.99*273*O101/M101/1000)</f>
        <v>5.1868392089869333E-2</v>
      </c>
      <c r="S101" s="77"/>
    </row>
    <row r="102" spans="1:19">
      <c r="A102" s="183"/>
      <c r="B102" s="22">
        <v>0.2</v>
      </c>
      <c r="C102" s="22">
        <v>0.2</v>
      </c>
      <c r="D102" s="22">
        <v>0.12</v>
      </c>
      <c r="E102" s="23">
        <v>1</v>
      </c>
      <c r="F102" s="23">
        <v>0.63</v>
      </c>
      <c r="G102" s="23">
        <v>0.05</v>
      </c>
      <c r="H102" s="27">
        <v>0.35</v>
      </c>
      <c r="I102" s="24">
        <f>E102/(E102+G102)</f>
        <v>0.95238095238095233</v>
      </c>
      <c r="J102" s="23">
        <f>F102/(F102+H102)</f>
        <v>0.6428571428571429</v>
      </c>
      <c r="K102" s="25">
        <f>-LN(I102)</f>
        <v>4.8790164169432056E-2</v>
      </c>
      <c r="L102" s="25">
        <f t="shared" si="39"/>
        <v>0.44183275227903918</v>
      </c>
      <c r="M102" s="26">
        <v>0.46444222293743131</v>
      </c>
      <c r="N102" s="26" t="e">
        <v>#N/A</v>
      </c>
      <c r="O102" s="177"/>
      <c r="P102" s="180"/>
      <c r="Q102" s="174"/>
      <c r="R102" s="174"/>
      <c r="S102" s="55"/>
    </row>
    <row r="103" spans="1:19">
      <c r="A103" s="183"/>
      <c r="B103" s="61"/>
      <c r="C103" s="61"/>
      <c r="D103" s="61"/>
      <c r="E103" s="62"/>
      <c r="F103" s="62"/>
      <c r="G103" s="62"/>
      <c r="H103" s="46"/>
      <c r="I103" s="63"/>
      <c r="J103" s="62"/>
      <c r="K103" s="64"/>
      <c r="L103" s="64"/>
      <c r="M103" s="26">
        <v>0.99725263007281695</v>
      </c>
      <c r="N103" s="26">
        <v>2.481200865569666E-2</v>
      </c>
      <c r="O103" s="177"/>
      <c r="P103" s="180"/>
      <c r="Q103" s="174"/>
      <c r="R103" s="174"/>
      <c r="S103" s="55"/>
    </row>
    <row r="104" spans="1:19">
      <c r="A104" s="183"/>
      <c r="B104" s="45"/>
      <c r="C104" s="45"/>
      <c r="D104" s="45"/>
      <c r="E104" s="46"/>
      <c r="F104" s="46"/>
      <c r="G104" s="46"/>
      <c r="H104" s="46"/>
      <c r="I104" s="46"/>
      <c r="J104" s="46"/>
      <c r="K104" s="47"/>
      <c r="L104" s="47"/>
      <c r="M104" s="26">
        <v>362.98447479014459</v>
      </c>
      <c r="N104" s="26">
        <v>1</v>
      </c>
      <c r="O104" s="177"/>
      <c r="P104" s="180"/>
      <c r="Q104" s="174"/>
      <c r="R104" s="174"/>
      <c r="S104" s="55"/>
    </row>
    <row r="105" spans="1:19">
      <c r="A105" s="184"/>
      <c r="B105" s="42"/>
      <c r="C105" s="42"/>
      <c r="D105" s="42"/>
      <c r="E105" s="43"/>
      <c r="F105" s="43"/>
      <c r="G105" s="43"/>
      <c r="H105" s="43"/>
      <c r="I105" s="43"/>
      <c r="J105" s="43"/>
      <c r="K105" s="44"/>
      <c r="L105" s="44"/>
      <c r="M105" s="26">
        <v>0.22346622791694429</v>
      </c>
      <c r="N105" s="26">
        <v>6.1563577353036596E-4</v>
      </c>
      <c r="O105" s="178"/>
      <c r="P105" s="181"/>
      <c r="Q105" s="175"/>
      <c r="R105" s="175"/>
      <c r="S105" s="55"/>
    </row>
    <row r="106" spans="1:19" s="19" customFormat="1">
      <c r="A106" s="161" t="s">
        <v>869</v>
      </c>
      <c r="B106" s="118">
        <v>0.2</v>
      </c>
      <c r="C106" s="118">
        <v>0.2</v>
      </c>
      <c r="D106" s="119">
        <v>0.04</v>
      </c>
      <c r="E106" s="120">
        <v>1</v>
      </c>
      <c r="F106" s="120">
        <v>0.36809999999999998</v>
      </c>
      <c r="G106" s="120">
        <v>1.4999999999999999E-2</v>
      </c>
      <c r="H106" s="121">
        <f>0.0603+0.4585</f>
        <v>0.51880000000000004</v>
      </c>
      <c r="I106" s="121">
        <f t="shared" ref="I106:I108" si="41">E106/(E106+G106)</f>
        <v>0.98522167487684742</v>
      </c>
      <c r="J106" s="120">
        <f t="shared" ref="J106:J108" si="42">F106/(F106+H106)</f>
        <v>0.41504115458338026</v>
      </c>
      <c r="K106" s="122">
        <f t="shared" ref="K106:K108" si="43">-LN(I106)</f>
        <v>1.4888612493750524E-2</v>
      </c>
      <c r="L106" s="122">
        <f t="shared" ref="L106:L108" si="44">-LN(J106)</f>
        <v>0.87937759599743137</v>
      </c>
      <c r="M106" s="123" cm="1">
        <f t="array" ref="M106:N110">LINEST(L106:L108,K106:K108,FALSE,TRUE)</f>
        <v>7.3028375212341121</v>
      </c>
      <c r="N106" s="123">
        <v>0</v>
      </c>
      <c r="O106" s="164">
        <f>TINV(0.32,N109)*M107</f>
        <v>2.4322476605106553</v>
      </c>
      <c r="P106" s="167">
        <f>O106*100/M106</f>
        <v>33.305515197873767</v>
      </c>
      <c r="Q106" s="170">
        <f>-1.99*273*LN(M106)/1000</f>
        <v>-1.0801636259764622</v>
      </c>
      <c r="R106" s="170">
        <f>ABS(1.99*273*O106/M106/1000)</f>
        <v>0.18093887241548884</v>
      </c>
      <c r="S106" s="124"/>
    </row>
    <row r="107" spans="1:19">
      <c r="A107" s="162" t="s">
        <v>821</v>
      </c>
      <c r="B107" s="125">
        <v>0.2</v>
      </c>
      <c r="C107" s="125">
        <v>0.2</v>
      </c>
      <c r="D107" s="126">
        <v>0.08</v>
      </c>
      <c r="E107" s="127">
        <v>1</v>
      </c>
      <c r="F107" s="127">
        <v>0.1022</v>
      </c>
      <c r="G107" s="127">
        <v>5.8900000000000001E-2</v>
      </c>
      <c r="H107" s="128">
        <f>0.1012+0.7616</f>
        <v>0.86280000000000001</v>
      </c>
      <c r="I107" s="129">
        <f t="shared" si="41"/>
        <v>0.94437623949381433</v>
      </c>
      <c r="J107" s="127">
        <f t="shared" si="42"/>
        <v>0.10590673575129533</v>
      </c>
      <c r="K107" s="130">
        <f t="shared" si="43"/>
        <v>5.7230633454271714E-2</v>
      </c>
      <c r="L107" s="130">
        <f t="shared" si="44"/>
        <v>2.2451964235693818</v>
      </c>
      <c r="M107" s="131">
        <v>1.8544431061269069</v>
      </c>
      <c r="N107" s="131" t="e">
        <v>#N/A</v>
      </c>
      <c r="O107" s="165"/>
      <c r="P107" s="168"/>
      <c r="Q107" s="171"/>
      <c r="R107" s="171"/>
      <c r="S107" s="132"/>
    </row>
    <row r="108" spans="1:19">
      <c r="A108" s="162" t="s">
        <v>822</v>
      </c>
      <c r="B108" s="125">
        <v>0.2</v>
      </c>
      <c r="C108" s="125">
        <v>0.2</v>
      </c>
      <c r="D108" s="125">
        <v>0.12</v>
      </c>
      <c r="E108" s="127">
        <v>1</v>
      </c>
      <c r="F108" s="127">
        <v>9.7999999999999997E-3</v>
      </c>
      <c r="G108" s="127">
        <v>1.1299999999999999</v>
      </c>
      <c r="H108" s="128">
        <f>0.2476+1.8448</f>
        <v>2.0924</v>
      </c>
      <c r="I108" s="129">
        <f t="shared" si="41"/>
        <v>0.46948356807511737</v>
      </c>
      <c r="J108" s="127">
        <f t="shared" si="42"/>
        <v>4.6617828941109317E-3</v>
      </c>
      <c r="K108" s="130">
        <f t="shared" si="43"/>
        <v>0.75612197972133377</v>
      </c>
      <c r="L108" s="130">
        <f t="shared" si="44"/>
        <v>5.3683573087127279</v>
      </c>
      <c r="M108" s="131">
        <v>0.88576661310616578</v>
      </c>
      <c r="N108" s="131">
        <v>1.4064669959494192</v>
      </c>
      <c r="O108" s="165"/>
      <c r="P108" s="168"/>
      <c r="Q108" s="171"/>
      <c r="R108" s="171"/>
      <c r="S108" s="132"/>
    </row>
    <row r="109" spans="1:19">
      <c r="A109" s="162"/>
      <c r="B109" s="133"/>
      <c r="C109" s="133"/>
      <c r="D109" s="133"/>
      <c r="E109" s="134"/>
      <c r="F109" s="134"/>
      <c r="G109" s="134"/>
      <c r="H109" s="134"/>
      <c r="I109" s="134"/>
      <c r="J109" s="134"/>
      <c r="K109" s="135"/>
      <c r="L109" s="135"/>
      <c r="M109" s="131">
        <v>15.508016302263306</v>
      </c>
      <c r="N109" s="131">
        <v>2</v>
      </c>
      <c r="O109" s="165"/>
      <c r="P109" s="168"/>
      <c r="Q109" s="171"/>
      <c r="R109" s="171"/>
      <c r="S109" s="132"/>
    </row>
    <row r="110" spans="1:19">
      <c r="A110" s="163"/>
      <c r="B110" s="133"/>
      <c r="C110" s="133"/>
      <c r="D110" s="133"/>
      <c r="E110" s="134"/>
      <c r="F110" s="134"/>
      <c r="G110" s="134"/>
      <c r="H110" s="134"/>
      <c r="I110" s="134"/>
      <c r="J110" s="134"/>
      <c r="K110" s="135"/>
      <c r="L110" s="135"/>
      <c r="M110" s="131">
        <v>30.677173309370357</v>
      </c>
      <c r="N110" s="131">
        <v>3.956298821389967</v>
      </c>
      <c r="O110" s="166"/>
      <c r="P110" s="169"/>
      <c r="Q110" s="172"/>
      <c r="R110" s="172"/>
      <c r="S110" s="136"/>
    </row>
    <row r="111" spans="1:19" s="38" customFormat="1">
      <c r="A111" s="150" t="s">
        <v>907</v>
      </c>
      <c r="B111" s="151"/>
      <c r="C111" s="151"/>
      <c r="D111" s="151"/>
      <c r="E111" s="152"/>
      <c r="F111" s="152"/>
      <c r="G111" s="152"/>
      <c r="H111" s="152"/>
      <c r="I111" s="152"/>
      <c r="J111" s="152"/>
      <c r="K111" s="153"/>
      <c r="L111" s="153"/>
      <c r="M111" s="154">
        <f>M106*2*1.8448/(0.2476+1.8448)</f>
        <v>12.877341482673188</v>
      </c>
      <c r="N111" s="153"/>
      <c r="O111" s="155">
        <f>O106*2*0.25/(0.24+0.25)</f>
        <v>2.4818853678680157</v>
      </c>
      <c r="P111" s="156">
        <f>O106*100/M106</f>
        <v>33.305515197873767</v>
      </c>
      <c r="Q111" s="157">
        <f>-1.99*273*LN(M111)/1000</f>
        <v>-1.3883098026704868</v>
      </c>
      <c r="R111" s="157">
        <f>ABS(1.99*273*O111/M111/1000)</f>
        <v>0.10470591819094623</v>
      </c>
      <c r="S111" s="158"/>
    </row>
    <row r="112" spans="1:19">
      <c r="A112" s="147" t="s">
        <v>908</v>
      </c>
      <c r="B112" s="133"/>
      <c r="C112" s="133"/>
      <c r="D112" s="133"/>
      <c r="E112" s="134"/>
      <c r="F112" s="134"/>
      <c r="G112" s="134"/>
      <c r="H112" s="134"/>
      <c r="I112" s="134"/>
      <c r="J112" s="134"/>
      <c r="K112" s="135"/>
      <c r="L112" s="135"/>
      <c r="M112" s="131">
        <f>M106*2*0.2476/(0.2476+1.8448)</f>
        <v>1.7283335597950353</v>
      </c>
      <c r="N112" s="135"/>
      <c r="O112" s="148">
        <f>O106*2*0.24/(0.24+0.25)</f>
        <v>2.3826099531532949</v>
      </c>
      <c r="P112" s="149">
        <f>O106*100/M106</f>
        <v>33.305515197873767</v>
      </c>
      <c r="Q112" s="126">
        <f>-1.99*273*LN(M112)/1000</f>
        <v>-0.29725435500967251</v>
      </c>
      <c r="R112" s="126">
        <f>ABS(1.99*273*O112/M112/1000)</f>
        <v>0.74892980114503738</v>
      </c>
      <c r="S112" s="132"/>
    </row>
    <row r="113" spans="1:19" s="19" customFormat="1" ht="14">
      <c r="A113" s="182" t="s">
        <v>737</v>
      </c>
      <c r="B113" s="30">
        <v>0.2</v>
      </c>
      <c r="C113" s="30">
        <v>0.2</v>
      </c>
      <c r="D113" s="18">
        <v>0.04</v>
      </c>
      <c r="E113" s="31">
        <v>1</v>
      </c>
      <c r="F113" s="31">
        <v>0.78</v>
      </c>
      <c r="G113" s="31">
        <v>0.17</v>
      </c>
      <c r="H113" s="32">
        <v>0.44</v>
      </c>
      <c r="I113" s="32">
        <f>E113/(E113+G113)</f>
        <v>0.85470085470085477</v>
      </c>
      <c r="J113" s="31">
        <f>F113/(F113+H113)</f>
        <v>0.63934426229508201</v>
      </c>
      <c r="K113" s="33">
        <f>-LN(I113)</f>
        <v>0.15700374880966467</v>
      </c>
      <c r="L113" s="33">
        <f>-LN(J113)</f>
        <v>0.44731221804366478</v>
      </c>
      <c r="M113" s="34" cm="1">
        <f t="array" ref="M113:N117">LINEST(L113:L114,K113:K114,FALSE,TRUE)</f>
        <v>6.2094014985434587</v>
      </c>
      <c r="N113" s="34">
        <v>0</v>
      </c>
      <c r="O113" s="176">
        <f>TINV(0.32,N116)*M114</f>
        <v>3.4566558387148834</v>
      </c>
      <c r="P113" s="179">
        <f>O113*100/M113</f>
        <v>55.668100049992127</v>
      </c>
      <c r="Q113" s="173">
        <f>-1.99*273*LN(M113)/1000</f>
        <v>-0.9920460686591398</v>
      </c>
      <c r="R113" s="173">
        <f>ABS(1.99*273*O113/M113/1000)</f>
        <v>0.30242808714159225</v>
      </c>
      <c r="S113" s="73"/>
    </row>
    <row r="114" spans="1:19" ht="14">
      <c r="A114" s="183"/>
      <c r="B114" s="22">
        <v>0.2</v>
      </c>
      <c r="C114" s="22">
        <v>0.2</v>
      </c>
      <c r="D114" s="15">
        <v>0.08</v>
      </c>
      <c r="E114" s="23">
        <v>1</v>
      </c>
      <c r="F114" s="23">
        <v>0.18</v>
      </c>
      <c r="G114" s="23">
        <v>0.32</v>
      </c>
      <c r="H114" s="27">
        <v>1.18</v>
      </c>
      <c r="I114" s="24">
        <f>E114/(E114+G114)</f>
        <v>0.75757575757575757</v>
      </c>
      <c r="J114" s="23">
        <f>F114/(F114+H114)</f>
        <v>0.13235294117647059</v>
      </c>
      <c r="K114" s="25">
        <f>-LN(I114)</f>
        <v>0.2776317365982795</v>
      </c>
      <c r="L114" s="25">
        <f>-LN(J114)</f>
        <v>2.0222831278398874</v>
      </c>
      <c r="M114" s="26">
        <v>1.9003126283628087</v>
      </c>
      <c r="N114" s="26" t="e">
        <v>#N/A</v>
      </c>
      <c r="O114" s="177"/>
      <c r="P114" s="180"/>
      <c r="Q114" s="174"/>
      <c r="R114" s="174"/>
      <c r="S114" s="74"/>
    </row>
    <row r="115" spans="1:19">
      <c r="A115" s="183"/>
      <c r="B115" s="61"/>
      <c r="C115" s="61"/>
      <c r="D115" s="61"/>
      <c r="E115" s="62"/>
      <c r="F115" s="62"/>
      <c r="G115" s="62"/>
      <c r="H115" s="46"/>
      <c r="I115" s="63"/>
      <c r="J115" s="62"/>
      <c r="K115" s="64"/>
      <c r="L115" s="64"/>
      <c r="M115" s="26">
        <v>0.91436158939668155</v>
      </c>
      <c r="N115" s="26">
        <v>0.6061060706695407</v>
      </c>
      <c r="O115" s="177"/>
      <c r="P115" s="180"/>
      <c r="Q115" s="174"/>
      <c r="R115" s="174"/>
      <c r="S115" s="55"/>
    </row>
    <row r="116" spans="1:19">
      <c r="A116" s="183"/>
      <c r="B116" s="45"/>
      <c r="C116" s="45"/>
      <c r="D116" s="45"/>
      <c r="E116" s="46"/>
      <c r="F116" s="46"/>
      <c r="G116" s="46"/>
      <c r="H116" s="46"/>
      <c r="I116" s="46"/>
      <c r="J116" s="46"/>
      <c r="K116" s="47"/>
      <c r="L116" s="47"/>
      <c r="M116" s="26">
        <v>10.677003262380145</v>
      </c>
      <c r="N116" s="26">
        <v>1</v>
      </c>
      <c r="O116" s="177"/>
      <c r="P116" s="180"/>
      <c r="Q116" s="174"/>
      <c r="R116" s="174"/>
      <c r="S116" s="55"/>
    </row>
    <row r="117" spans="1:19">
      <c r="A117" s="184"/>
      <c r="B117" s="42"/>
      <c r="C117" s="42"/>
      <c r="D117" s="42"/>
      <c r="E117" s="43"/>
      <c r="F117" s="43"/>
      <c r="G117" s="43"/>
      <c r="H117" s="43"/>
      <c r="I117" s="43"/>
      <c r="J117" s="43"/>
      <c r="K117" s="44"/>
      <c r="L117" s="44"/>
      <c r="M117" s="26">
        <v>3.9223527006545504</v>
      </c>
      <c r="N117" s="26">
        <v>0.36736456890247027</v>
      </c>
      <c r="O117" s="178"/>
      <c r="P117" s="181"/>
      <c r="Q117" s="175"/>
      <c r="R117" s="175"/>
      <c r="S117" s="55"/>
    </row>
    <row r="118" spans="1:19">
      <c r="A118" s="161" t="s">
        <v>910</v>
      </c>
      <c r="B118" s="118">
        <v>0.2</v>
      </c>
      <c r="C118" s="118">
        <v>0.2</v>
      </c>
      <c r="D118" s="119">
        <v>0.04</v>
      </c>
      <c r="E118" s="120">
        <v>1</v>
      </c>
      <c r="F118" s="120">
        <v>0.70240000000000002</v>
      </c>
      <c r="G118" s="120">
        <v>3.2899999999999999E-2</v>
      </c>
      <c r="H118" s="121">
        <v>0.1588</v>
      </c>
      <c r="I118" s="121">
        <f t="shared" ref="I118:I121" si="45">E118/(E118+G118)</f>
        <v>0.96814793300416313</v>
      </c>
      <c r="J118" s="120">
        <f t="shared" ref="J118:J121" si="46">F118/(F118+H118)</f>
        <v>0.81560613098002788</v>
      </c>
      <c r="K118" s="122">
        <f t="shared" ref="K118:K121" si="47">-LN(I118)</f>
        <v>3.2370380030450618E-2</v>
      </c>
      <c r="L118" s="122">
        <f t="shared" ref="L118:L121" si="48">-LN(J118)</f>
        <v>0.20382372316930106</v>
      </c>
      <c r="M118" s="123" cm="1">
        <f t="array" ref="M118:N122">LINEST(L118:L121,K118:K121,FALSE,TRUE)</f>
        <v>5.335456226360705</v>
      </c>
      <c r="N118" s="123">
        <v>0</v>
      </c>
      <c r="O118" s="164">
        <f>TINV(0.32,N121)*M119</f>
        <v>0.38474945743496836</v>
      </c>
      <c r="P118" s="167">
        <f>O118*100/M118</f>
        <v>7.2111819704198847</v>
      </c>
      <c r="Q118" s="170">
        <f>-1.99*273*LN(M118)/1000</f>
        <v>-0.90963737855845961</v>
      </c>
      <c r="R118" s="170">
        <f>ABS(1.99*273*O118/M118/1000)</f>
        <v>3.917618829070011E-2</v>
      </c>
      <c r="S118" s="124"/>
    </row>
    <row r="119" spans="1:19">
      <c r="A119" s="162"/>
      <c r="B119" s="125">
        <v>0.2</v>
      </c>
      <c r="C119" s="125">
        <v>0.2</v>
      </c>
      <c r="D119" s="126">
        <v>0.08</v>
      </c>
      <c r="E119" s="127">
        <v>1</v>
      </c>
      <c r="F119" s="127">
        <v>0.6</v>
      </c>
      <c r="G119" s="127">
        <v>7.1999999999999995E-2</v>
      </c>
      <c r="H119" s="128">
        <v>0.31</v>
      </c>
      <c r="I119" s="129">
        <f t="shared" si="45"/>
        <v>0.93283582089552231</v>
      </c>
      <c r="J119" s="127">
        <f t="shared" si="46"/>
        <v>0.65934065934065933</v>
      </c>
      <c r="K119" s="130">
        <f t="shared" si="47"/>
        <v>6.9526062648610332E-2</v>
      </c>
      <c r="L119" s="130">
        <f t="shared" si="48"/>
        <v>0.41651494429474939</v>
      </c>
      <c r="M119" s="131">
        <v>0.32361021984888977</v>
      </c>
      <c r="N119" s="131" t="e">
        <v>#N/A</v>
      </c>
      <c r="O119" s="165"/>
      <c r="P119" s="168"/>
      <c r="Q119" s="171"/>
      <c r="R119" s="171"/>
      <c r="S119" s="132"/>
    </row>
    <row r="120" spans="1:19">
      <c r="A120" s="162"/>
      <c r="B120" s="125">
        <v>0.2</v>
      </c>
      <c r="C120" s="125">
        <v>0.2</v>
      </c>
      <c r="D120" s="125">
        <v>0.12</v>
      </c>
      <c r="E120" s="127">
        <v>1</v>
      </c>
      <c r="F120" s="127">
        <v>0.55000000000000004</v>
      </c>
      <c r="G120" s="127">
        <v>0.105</v>
      </c>
      <c r="H120" s="128">
        <v>0.44359999999999999</v>
      </c>
      <c r="I120" s="129">
        <f t="shared" si="45"/>
        <v>0.90497737556561086</v>
      </c>
      <c r="J120" s="127">
        <f t="shared" si="46"/>
        <v>0.55354267310789051</v>
      </c>
      <c r="K120" s="130">
        <f t="shared" si="47"/>
        <v>9.9845334969716135E-2</v>
      </c>
      <c r="L120" s="130">
        <f t="shared" si="48"/>
        <v>0.59141643295269763</v>
      </c>
      <c r="M120" s="131">
        <v>0.98908419294481664</v>
      </c>
      <c r="N120" s="131">
        <v>6.1670642138417012E-2</v>
      </c>
      <c r="O120" s="165"/>
      <c r="P120" s="168"/>
      <c r="Q120" s="171"/>
      <c r="R120" s="171"/>
      <c r="S120" s="132"/>
    </row>
    <row r="121" spans="1:19">
      <c r="A121" s="162"/>
      <c r="B121" s="133"/>
      <c r="C121" s="133"/>
      <c r="D121" s="133"/>
      <c r="E121" s="134">
        <v>1</v>
      </c>
      <c r="F121" s="134">
        <v>0.58169999999999999</v>
      </c>
      <c r="G121" s="134">
        <v>0.15379999999999999</v>
      </c>
      <c r="H121" s="134">
        <v>0.58169999999999999</v>
      </c>
      <c r="I121" s="129">
        <f t="shared" si="45"/>
        <v>0.86670133472005551</v>
      </c>
      <c r="J121" s="127">
        <f t="shared" si="46"/>
        <v>0.5</v>
      </c>
      <c r="K121" s="130">
        <f t="shared" si="47"/>
        <v>0.14306084284065196</v>
      </c>
      <c r="L121" s="130">
        <f t="shared" si="48"/>
        <v>0.69314718055994529</v>
      </c>
      <c r="M121" s="131">
        <v>271.83080131720277</v>
      </c>
      <c r="N121" s="131">
        <v>3</v>
      </c>
      <c r="O121" s="165"/>
      <c r="P121" s="168"/>
      <c r="Q121" s="171"/>
      <c r="R121" s="171"/>
      <c r="S121" s="132"/>
    </row>
    <row r="122" spans="1:19">
      <c r="A122" s="163"/>
      <c r="B122" s="133"/>
      <c r="C122" s="133"/>
      <c r="D122" s="133"/>
      <c r="E122" s="134"/>
      <c r="F122" s="134"/>
      <c r="G122" s="134"/>
      <c r="H122" s="134"/>
      <c r="I122" s="134"/>
      <c r="J122" s="134"/>
      <c r="K122" s="135"/>
      <c r="L122" s="135"/>
      <c r="M122" s="131">
        <v>1.033845415726854</v>
      </c>
      <c r="N122" s="131">
        <v>1.1409804305294088E-2</v>
      </c>
      <c r="O122" s="166"/>
      <c r="P122" s="169"/>
      <c r="Q122" s="172"/>
      <c r="R122" s="172"/>
      <c r="S122" s="136"/>
    </row>
    <row r="123" spans="1:19" s="19" customFormat="1">
      <c r="A123" s="182" t="s">
        <v>757</v>
      </c>
      <c r="B123" s="30">
        <v>0.2</v>
      </c>
      <c r="C123" s="30">
        <v>0.2</v>
      </c>
      <c r="D123" s="18">
        <v>0.04</v>
      </c>
      <c r="E123" s="31">
        <v>1</v>
      </c>
      <c r="F123" s="31">
        <v>0.56000000000000005</v>
      </c>
      <c r="G123" s="31">
        <v>8.8999999999999996E-2</v>
      </c>
      <c r="H123" s="32">
        <v>0.28999999999999998</v>
      </c>
      <c r="I123" s="32">
        <f t="shared" ref="I123:J125" si="49">E123/(E123+G123)</f>
        <v>0.91827364554637281</v>
      </c>
      <c r="J123" s="31">
        <f t="shared" si="49"/>
        <v>0.6588235294117647</v>
      </c>
      <c r="K123" s="33">
        <f>-LN(I123)</f>
        <v>8.5259843950823436E-2</v>
      </c>
      <c r="L123" s="33">
        <f t="shared" ref="L123:L125" si="50">-LN(J123)</f>
        <v>0.41729956575516725</v>
      </c>
      <c r="M123" s="34" cm="1">
        <f t="array" ref="M123:N127">LINEST(L123:L125,K123:K125,FALSE,TRUE)</f>
        <v>5.0718214226232767</v>
      </c>
      <c r="N123" s="34">
        <v>0</v>
      </c>
      <c r="O123" s="176">
        <f t="shared" ref="O123" si="51">TINV(0.32,N126)*M124</f>
        <v>8.4468490966965154E-2</v>
      </c>
      <c r="P123" s="179">
        <f>O123*100/M123</f>
        <v>1.6654468666855364</v>
      </c>
      <c r="Q123" s="173">
        <f>-1.99*273*LN(M123)/1000</f>
        <v>-0.88210750336884858</v>
      </c>
      <c r="R123" s="173">
        <f>ABS(1.99*273*O123/M123/1000)</f>
        <v>9.0478731926425127E-3</v>
      </c>
      <c r="S123" s="77"/>
    </row>
    <row r="124" spans="1:19">
      <c r="A124" s="183"/>
      <c r="B124" s="22">
        <v>0.2</v>
      </c>
      <c r="C124" s="22">
        <v>0.2</v>
      </c>
      <c r="D124" s="15">
        <v>0.08</v>
      </c>
      <c r="E124" s="23">
        <v>1</v>
      </c>
      <c r="F124" s="23">
        <v>0.37</v>
      </c>
      <c r="G124" s="23">
        <v>0.18</v>
      </c>
      <c r="H124" s="27">
        <v>0.47</v>
      </c>
      <c r="I124" s="24">
        <f t="shared" si="49"/>
        <v>0.84745762711864414</v>
      </c>
      <c r="J124" s="23">
        <f t="shared" si="49"/>
        <v>0.44047619047619047</v>
      </c>
      <c r="K124" s="25">
        <f>-LN(I124)</f>
        <v>0.1655144384775733</v>
      </c>
      <c r="L124" s="25">
        <f t="shared" si="50"/>
        <v>0.81989888619908924</v>
      </c>
      <c r="M124" s="26">
        <v>6.440216319325974E-2</v>
      </c>
      <c r="N124" s="26" t="e">
        <v>#N/A</v>
      </c>
      <c r="O124" s="177"/>
      <c r="P124" s="180"/>
      <c r="Q124" s="174"/>
      <c r="R124" s="174"/>
      <c r="S124" s="55"/>
    </row>
    <row r="125" spans="1:19">
      <c r="A125" s="183"/>
      <c r="B125" s="22">
        <v>0.2</v>
      </c>
      <c r="C125" s="22">
        <v>0.2</v>
      </c>
      <c r="D125" s="22">
        <v>0.12</v>
      </c>
      <c r="E125" s="23">
        <v>1</v>
      </c>
      <c r="F125" s="23">
        <v>0.22</v>
      </c>
      <c r="G125" s="23">
        <v>0.31</v>
      </c>
      <c r="H125" s="27">
        <v>0.66</v>
      </c>
      <c r="I125" s="24">
        <f t="shared" si="49"/>
        <v>0.76335877862595414</v>
      </c>
      <c r="J125" s="23">
        <f t="shared" si="49"/>
        <v>0.25</v>
      </c>
      <c r="K125" s="25">
        <f>-LN(I125)</f>
        <v>0.27002713721306026</v>
      </c>
      <c r="L125" s="25">
        <f t="shared" si="50"/>
        <v>1.3862943611198906</v>
      </c>
      <c r="M125" s="26">
        <v>0.99967762380169467</v>
      </c>
      <c r="N125" s="26">
        <v>2.1123411304665732E-2</v>
      </c>
      <c r="O125" s="177"/>
      <c r="P125" s="180"/>
      <c r="Q125" s="174"/>
      <c r="R125" s="174"/>
      <c r="S125" s="55"/>
    </row>
    <row r="126" spans="1:19">
      <c r="A126" s="183"/>
      <c r="B126" s="45"/>
      <c r="C126" s="45"/>
      <c r="D126" s="45"/>
      <c r="E126" s="46"/>
      <c r="F126" s="46"/>
      <c r="G126" s="46"/>
      <c r="H126" s="46"/>
      <c r="I126" s="46"/>
      <c r="J126" s="46"/>
      <c r="K126" s="47"/>
      <c r="L126" s="47"/>
      <c r="M126" s="26">
        <v>6201.9319605889159</v>
      </c>
      <c r="N126" s="26">
        <v>2</v>
      </c>
      <c r="O126" s="177"/>
      <c r="P126" s="180"/>
      <c r="Q126" s="174"/>
      <c r="R126" s="174"/>
      <c r="S126" s="55"/>
    </row>
    <row r="127" spans="1:19">
      <c r="A127" s="184"/>
      <c r="B127" s="42"/>
      <c r="C127" s="45"/>
      <c r="D127" s="45"/>
      <c r="E127" s="46"/>
      <c r="F127" s="46"/>
      <c r="G127" s="46"/>
      <c r="H127" s="46"/>
      <c r="I127" s="46"/>
      <c r="J127" s="46"/>
      <c r="K127" s="47"/>
      <c r="L127" s="47"/>
      <c r="M127" s="26">
        <v>2.7672927698324719</v>
      </c>
      <c r="N127" s="26">
        <v>8.923970102921602E-4</v>
      </c>
      <c r="O127" s="178"/>
      <c r="P127" s="181"/>
      <c r="Q127" s="175"/>
      <c r="R127" s="175"/>
      <c r="S127" s="55"/>
    </row>
    <row r="128" spans="1:19" s="19" customFormat="1">
      <c r="A128" s="182" t="s">
        <v>741</v>
      </c>
      <c r="B128" s="30">
        <v>0.2</v>
      </c>
      <c r="C128" s="30">
        <v>0.2</v>
      </c>
      <c r="D128" s="18">
        <v>0.04</v>
      </c>
      <c r="E128" s="31">
        <v>1</v>
      </c>
      <c r="F128" s="31">
        <v>0.52</v>
      </c>
      <c r="G128" s="31">
        <v>0.12</v>
      </c>
      <c r="H128" s="32">
        <v>0.4</v>
      </c>
      <c r="I128" s="32">
        <f t="shared" ref="I128:J130" si="52">E128/(E128+G128)</f>
        <v>0.89285714285714279</v>
      </c>
      <c r="J128" s="31">
        <f t="shared" si="52"/>
        <v>0.56521739130434778</v>
      </c>
      <c r="K128" s="33">
        <f t="shared" ref="K128:L130" si="53">-LN(I128)</f>
        <v>0.11332868530700324</v>
      </c>
      <c r="L128" s="33">
        <f t="shared" si="53"/>
        <v>0.57054485846761305</v>
      </c>
      <c r="M128" s="34" cm="1">
        <f t="array" ref="M128:N132">LINEST(L128:L130,K128:K130,FALSE,TRUE)</f>
        <v>4.9978449699475638</v>
      </c>
      <c r="N128" s="34">
        <v>0</v>
      </c>
      <c r="O128" s="176">
        <f t="shared" ref="O128" si="54">TINV(0.32,N131)*M129</f>
        <v>0.42754705594289882</v>
      </c>
      <c r="P128" s="179">
        <f>O128*100/M128</f>
        <v>8.554628215036141</v>
      </c>
      <c r="Q128" s="173">
        <f>-1.99*273*LN(M128)/1000</f>
        <v>-0.87412513157765581</v>
      </c>
      <c r="R128" s="173">
        <f>ABS(1.99*273*O128/M128/1000)</f>
        <v>4.6474728703826844E-2</v>
      </c>
      <c r="S128" s="77"/>
    </row>
    <row r="129" spans="1:19">
      <c r="A129" s="183"/>
      <c r="B129" s="22">
        <v>0.2</v>
      </c>
      <c r="C129" s="22">
        <v>0.2</v>
      </c>
      <c r="D129" s="15">
        <v>0.08</v>
      </c>
      <c r="E129" s="23">
        <v>1</v>
      </c>
      <c r="F129" s="23">
        <v>0.19</v>
      </c>
      <c r="G129" s="23">
        <v>0.23</v>
      </c>
      <c r="H129" s="27">
        <v>0.45</v>
      </c>
      <c r="I129" s="24">
        <f t="shared" si="52"/>
        <v>0.81300813008130079</v>
      </c>
      <c r="J129" s="23">
        <f t="shared" si="52"/>
        <v>0.296875</v>
      </c>
      <c r="K129" s="25">
        <f t="shared" si="53"/>
        <v>0.20701416938432615</v>
      </c>
      <c r="L129" s="25">
        <f t="shared" si="53"/>
        <v>1.2144441041932315</v>
      </c>
      <c r="M129" s="26">
        <v>0.32597901246277727</v>
      </c>
      <c r="N129" s="26" t="e">
        <v>#N/A</v>
      </c>
      <c r="O129" s="177"/>
      <c r="P129" s="180"/>
      <c r="Q129" s="174"/>
      <c r="R129" s="174"/>
      <c r="S129" s="55"/>
    </row>
    <row r="130" spans="1:19">
      <c r="A130" s="183"/>
      <c r="B130" s="22">
        <v>0.2</v>
      </c>
      <c r="C130" s="22">
        <v>0.2</v>
      </c>
      <c r="D130" s="22">
        <v>0.12</v>
      </c>
      <c r="E130" s="23">
        <v>1</v>
      </c>
      <c r="F130" s="23">
        <v>0.19</v>
      </c>
      <c r="G130" s="23">
        <v>0.46</v>
      </c>
      <c r="H130" s="27">
        <v>0.95</v>
      </c>
      <c r="I130" s="24">
        <f t="shared" si="52"/>
        <v>0.68493150684931503</v>
      </c>
      <c r="J130" s="23">
        <f t="shared" si="52"/>
        <v>0.16666666666666669</v>
      </c>
      <c r="K130" s="25">
        <f t="shared" si="53"/>
        <v>0.3784364357202451</v>
      </c>
      <c r="L130" s="25">
        <f t="shared" si="53"/>
        <v>1.791759469228055</v>
      </c>
      <c r="M130" s="26">
        <v>0.99156346272495177</v>
      </c>
      <c r="N130" s="26">
        <v>0.1453853214277594</v>
      </c>
      <c r="O130" s="177"/>
      <c r="P130" s="180"/>
      <c r="Q130" s="174"/>
      <c r="R130" s="174"/>
      <c r="S130" s="55"/>
    </row>
    <row r="131" spans="1:19">
      <c r="A131" s="183"/>
      <c r="B131" s="45"/>
      <c r="C131" s="45"/>
      <c r="D131" s="45"/>
      <c r="E131" s="46"/>
      <c r="F131" s="46"/>
      <c r="G131" s="46"/>
      <c r="H131" s="46"/>
      <c r="I131" s="46"/>
      <c r="J131" s="46"/>
      <c r="K131" s="47"/>
      <c r="L131" s="47"/>
      <c r="M131" s="26">
        <v>235.06408622352191</v>
      </c>
      <c r="N131" s="26">
        <v>2</v>
      </c>
      <c r="O131" s="177"/>
      <c r="P131" s="180"/>
      <c r="Q131" s="174"/>
      <c r="R131" s="174"/>
      <c r="S131" s="55"/>
    </row>
    <row r="132" spans="1:19">
      <c r="A132" s="184"/>
      <c r="B132" s="42"/>
      <c r="C132" s="45"/>
      <c r="D132" s="45"/>
      <c r="E132" s="46"/>
      <c r="F132" s="46"/>
      <c r="G132" s="46"/>
      <c r="H132" s="46"/>
      <c r="I132" s="46"/>
      <c r="J132" s="46"/>
      <c r="K132" s="47"/>
      <c r="L132" s="47"/>
      <c r="M132" s="26">
        <v>4.9685241299286247</v>
      </c>
      <c r="N132" s="26">
        <v>4.2273783373305833E-2</v>
      </c>
      <c r="O132" s="178"/>
      <c r="P132" s="181"/>
      <c r="Q132" s="175"/>
      <c r="R132" s="175"/>
      <c r="S132" s="55"/>
    </row>
    <row r="133" spans="1:19" s="19" customFormat="1">
      <c r="A133" s="182" t="s">
        <v>758</v>
      </c>
      <c r="B133" s="30">
        <v>0.2</v>
      </c>
      <c r="C133" s="30">
        <v>0.2</v>
      </c>
      <c r="D133" s="18">
        <v>0.04</v>
      </c>
      <c r="E133" s="31">
        <v>1</v>
      </c>
      <c r="F133" s="31">
        <v>0.82</v>
      </c>
      <c r="G133" s="31">
        <v>7.0999999999999994E-2</v>
      </c>
      <c r="H133" s="32">
        <v>0.3</v>
      </c>
      <c r="I133" s="32">
        <f>E133/(E133+G133)</f>
        <v>0.93370681605975725</v>
      </c>
      <c r="J133" s="31">
        <f>F133/(F133+H133)</f>
        <v>0.73214285714285721</v>
      </c>
      <c r="K133" s="33">
        <f>-LN(I133)</f>
        <v>6.8592791465611702E-2</v>
      </c>
      <c r="L133" s="33">
        <f>-LN(J133)</f>
        <v>0.31177962403084136</v>
      </c>
      <c r="M133" s="34" cm="1">
        <f t="array" ref="M133:N137">LINEST(L133:L135,K133:K135,FALSE,TRUE)</f>
        <v>4.4577126386310804</v>
      </c>
      <c r="N133" s="34">
        <v>0</v>
      </c>
      <c r="O133" s="176">
        <f>TINV(0.32,N136)*M134</f>
        <v>6.4335282801194799E-2</v>
      </c>
      <c r="P133" s="179">
        <f>O133*100/M133</f>
        <v>1.4432353095993089</v>
      </c>
      <c r="Q133" s="173">
        <f>-1.99*273*LN(M133)/1000</f>
        <v>-0.81199077649558393</v>
      </c>
      <c r="R133" s="173">
        <f>ABS(1.99*273*O133/M133/1000)</f>
        <v>7.8406644664601646E-3</v>
      </c>
      <c r="S133" s="77"/>
    </row>
    <row r="134" spans="1:19">
      <c r="A134" s="183"/>
      <c r="B134" s="22">
        <v>0.2</v>
      </c>
      <c r="C134" s="22">
        <v>0.2</v>
      </c>
      <c r="D134" s="15">
        <v>0.06</v>
      </c>
      <c r="E134" s="23">
        <v>1</v>
      </c>
      <c r="F134" s="23">
        <v>0.61</v>
      </c>
      <c r="G134" s="23">
        <v>0.17</v>
      </c>
      <c r="H134" s="27">
        <v>0.6</v>
      </c>
      <c r="I134" s="24">
        <f t="shared" ref="I134:J135" si="55">E134/(E134+G134)</f>
        <v>0.85470085470085477</v>
      </c>
      <c r="J134" s="23">
        <f t="shared" si="55"/>
        <v>0.50413223140495866</v>
      </c>
      <c r="K134" s="25">
        <f t="shared" ref="K134:L135" si="56">-LN(I134)</f>
        <v>0.15700374880966467</v>
      </c>
      <c r="L134" s="25">
        <f t="shared" si="56"/>
        <v>0.68491668142342987</v>
      </c>
      <c r="M134" s="26">
        <v>4.9051798305092049E-2</v>
      </c>
      <c r="N134" s="26" t="e">
        <v>#N/A</v>
      </c>
      <c r="O134" s="177"/>
      <c r="P134" s="180"/>
      <c r="Q134" s="174"/>
      <c r="R134" s="174"/>
      <c r="S134" s="55"/>
    </row>
    <row r="135" spans="1:19">
      <c r="A135" s="183"/>
      <c r="B135" s="22">
        <v>0.2</v>
      </c>
      <c r="C135" s="22">
        <v>0.2</v>
      </c>
      <c r="D135" s="22">
        <v>0.08</v>
      </c>
      <c r="E135" s="23">
        <v>1</v>
      </c>
      <c r="F135" s="23">
        <v>0.5</v>
      </c>
      <c r="G135" s="23">
        <v>0.23</v>
      </c>
      <c r="H135" s="27">
        <v>0.77</v>
      </c>
      <c r="I135" s="24">
        <f t="shared" si="55"/>
        <v>0.81300813008130079</v>
      </c>
      <c r="J135" s="23">
        <f t="shared" si="55"/>
        <v>0.39370078740157477</v>
      </c>
      <c r="K135" s="25">
        <f t="shared" si="56"/>
        <v>0.20701416938432615</v>
      </c>
      <c r="L135" s="25">
        <f t="shared" si="56"/>
        <v>0.93216408103044535</v>
      </c>
      <c r="M135" s="26">
        <v>0.99975789120478009</v>
      </c>
      <c r="N135" s="26">
        <v>1.3181160552069575E-2</v>
      </c>
      <c r="O135" s="177"/>
      <c r="P135" s="180"/>
      <c r="Q135" s="174"/>
      <c r="R135" s="174"/>
      <c r="S135" s="55"/>
    </row>
    <row r="136" spans="1:19">
      <c r="A136" s="183"/>
      <c r="B136" s="45"/>
      <c r="C136" s="45"/>
      <c r="D136" s="45"/>
      <c r="E136" s="46"/>
      <c r="F136" s="46"/>
      <c r="G136" s="46"/>
      <c r="H136" s="46"/>
      <c r="I136" s="46"/>
      <c r="J136" s="46"/>
      <c r="K136" s="47"/>
      <c r="L136" s="47"/>
      <c r="M136" s="26">
        <v>8258.7490495488528</v>
      </c>
      <c r="N136" s="26">
        <v>2</v>
      </c>
      <c r="O136" s="177"/>
      <c r="P136" s="180"/>
      <c r="Q136" s="174"/>
      <c r="R136" s="174"/>
      <c r="S136" s="55"/>
    </row>
    <row r="137" spans="1:19">
      <c r="A137" s="184"/>
      <c r="B137" s="42"/>
      <c r="C137" s="45"/>
      <c r="D137" s="45"/>
      <c r="E137" s="46"/>
      <c r="F137" s="46"/>
      <c r="G137" s="46"/>
      <c r="H137" s="46"/>
      <c r="I137" s="46"/>
      <c r="J137" s="46"/>
      <c r="K137" s="47"/>
      <c r="L137" s="47"/>
      <c r="M137" s="26">
        <v>1.4348997824292324</v>
      </c>
      <c r="N137" s="26">
        <v>3.4748598699887025E-4</v>
      </c>
      <c r="O137" s="178"/>
      <c r="P137" s="181"/>
      <c r="Q137" s="175"/>
      <c r="R137" s="175"/>
      <c r="S137" s="55"/>
    </row>
    <row r="138" spans="1:19" s="19" customFormat="1">
      <c r="A138" s="182" t="s">
        <v>759</v>
      </c>
      <c r="B138" s="30">
        <v>0.2</v>
      </c>
      <c r="C138" s="30">
        <v>0.2</v>
      </c>
      <c r="D138" s="18">
        <v>0.04</v>
      </c>
      <c r="E138" s="31">
        <v>1</v>
      </c>
      <c r="F138" s="31">
        <v>0.72</v>
      </c>
      <c r="G138" s="31">
        <v>0.1</v>
      </c>
      <c r="H138" s="32">
        <v>0.39</v>
      </c>
      <c r="I138" s="32">
        <f t="shared" ref="I138:J140" si="57">E138/(E138+G138)</f>
        <v>0.90909090909090906</v>
      </c>
      <c r="J138" s="31">
        <f t="shared" si="57"/>
        <v>0.64864864864864868</v>
      </c>
      <c r="K138" s="33">
        <f>-LN(I138)</f>
        <v>9.5310179804324893E-2</v>
      </c>
      <c r="L138" s="33">
        <f t="shared" ref="L138:L140" si="58">-LN(J138)</f>
        <v>0.43286408229627876</v>
      </c>
      <c r="M138" s="34" cm="1">
        <f t="array" ref="M138:N142">LINEST(L138:L140,K138:K140,FALSE,TRUE)</f>
        <v>4.3277035668245967</v>
      </c>
      <c r="N138" s="34">
        <v>0</v>
      </c>
      <c r="O138" s="176">
        <f t="shared" ref="O138" si="59">TINV(0.32,N141)*M139</f>
        <v>6.6457497092793152E-2</v>
      </c>
      <c r="P138" s="179">
        <f>O138*100/M138</f>
        <v>1.5356296027815877</v>
      </c>
      <c r="Q138" s="173">
        <f>-1.99*273*LN(M138)/1000</f>
        <v>-0.79591067665670856</v>
      </c>
      <c r="R138" s="173">
        <f>ABS(1.99*273*O138/M138/1000)</f>
        <v>8.3426149430315295E-3</v>
      </c>
      <c r="S138" s="77"/>
    </row>
    <row r="139" spans="1:19">
      <c r="A139" s="183"/>
      <c r="B139" s="22">
        <v>0.2</v>
      </c>
      <c r="C139" s="22">
        <v>0.2</v>
      </c>
      <c r="D139" s="15">
        <v>0.08</v>
      </c>
      <c r="E139" s="23">
        <v>1</v>
      </c>
      <c r="F139" s="23">
        <v>0.51700000000000002</v>
      </c>
      <c r="G139" s="23">
        <v>0.24</v>
      </c>
      <c r="H139" s="27">
        <v>0.77</v>
      </c>
      <c r="I139" s="24">
        <f t="shared" si="57"/>
        <v>0.80645161290322587</v>
      </c>
      <c r="J139" s="23">
        <f t="shared" si="57"/>
        <v>0.40170940170940173</v>
      </c>
      <c r="K139" s="25">
        <f>-LN(I139)</f>
        <v>0.21511137961694543</v>
      </c>
      <c r="L139" s="25">
        <f t="shared" si="58"/>
        <v>0.91202633308769754</v>
      </c>
      <c r="M139" s="26">
        <v>5.0669859543951375E-2</v>
      </c>
      <c r="N139" s="26" t="e">
        <v>#N/A</v>
      </c>
      <c r="O139" s="177"/>
      <c r="P139" s="180"/>
      <c r="Q139" s="174"/>
      <c r="R139" s="174"/>
      <c r="S139" s="55"/>
    </row>
    <row r="140" spans="1:19">
      <c r="A140" s="183"/>
      <c r="B140" s="22">
        <v>0.2</v>
      </c>
      <c r="C140" s="22">
        <v>0.2</v>
      </c>
      <c r="D140" s="22">
        <v>0.12</v>
      </c>
      <c r="E140" s="23">
        <v>1</v>
      </c>
      <c r="F140" s="23">
        <v>0.35</v>
      </c>
      <c r="G140" s="23">
        <v>0.38</v>
      </c>
      <c r="H140" s="27">
        <v>1.07</v>
      </c>
      <c r="I140" s="24">
        <f t="shared" si="57"/>
        <v>0.7246376811594204</v>
      </c>
      <c r="J140" s="23">
        <f t="shared" si="57"/>
        <v>0.24647887323943662</v>
      </c>
      <c r="K140" s="25">
        <f>-LN(I140)</f>
        <v>0.32208349916911316</v>
      </c>
      <c r="L140" s="25">
        <f t="shared" si="58"/>
        <v>1.4004789961118471</v>
      </c>
      <c r="M140" s="26">
        <v>0.99972590864803246</v>
      </c>
      <c r="N140" s="26">
        <v>2.0210524244286012E-2</v>
      </c>
      <c r="O140" s="177"/>
      <c r="P140" s="180"/>
      <c r="Q140" s="174"/>
      <c r="R140" s="174"/>
      <c r="S140" s="55"/>
    </row>
    <row r="141" spans="1:19">
      <c r="A141" s="183"/>
      <c r="B141" s="45"/>
      <c r="C141" s="45"/>
      <c r="D141" s="45"/>
      <c r="E141" s="46"/>
      <c r="F141" s="46"/>
      <c r="G141" s="46"/>
      <c r="H141" s="46"/>
      <c r="I141" s="46"/>
      <c r="J141" s="46"/>
      <c r="K141" s="47"/>
      <c r="L141" s="47"/>
      <c r="M141" s="26">
        <v>7294.8372976513911</v>
      </c>
      <c r="N141" s="26">
        <v>2</v>
      </c>
      <c r="O141" s="177"/>
      <c r="P141" s="180"/>
      <c r="Q141" s="174"/>
      <c r="R141" s="174"/>
      <c r="S141" s="55"/>
    </row>
    <row r="142" spans="1:19">
      <c r="A142" s="184"/>
      <c r="B142" s="42"/>
      <c r="C142" s="45"/>
      <c r="D142" s="45"/>
      <c r="E142" s="46"/>
      <c r="F142" s="46"/>
      <c r="G142" s="46"/>
      <c r="H142" s="46"/>
      <c r="I142" s="46"/>
      <c r="J142" s="46"/>
      <c r="K142" s="47"/>
      <c r="L142" s="47"/>
      <c r="M142" s="26">
        <v>2.9796878339575805</v>
      </c>
      <c r="N142" s="26">
        <v>8.1693058045774535E-4</v>
      </c>
      <c r="O142" s="178"/>
      <c r="P142" s="181"/>
      <c r="Q142" s="175"/>
      <c r="R142" s="175"/>
      <c r="S142" s="55"/>
    </row>
    <row r="143" spans="1:19" s="19" customFormat="1" ht="14">
      <c r="A143" s="182" t="s">
        <v>738</v>
      </c>
      <c r="B143" s="30">
        <v>0.2</v>
      </c>
      <c r="C143" s="30">
        <v>0.2</v>
      </c>
      <c r="D143" s="18">
        <v>0.04</v>
      </c>
      <c r="E143" s="31">
        <v>1</v>
      </c>
      <c r="F143" s="31">
        <v>0.75</v>
      </c>
      <c r="G143" s="31">
        <v>7.0000000000000007E-2</v>
      </c>
      <c r="H143" s="32">
        <v>0.26</v>
      </c>
      <c r="I143" s="32">
        <f t="shared" ref="I143:J147" si="60">E143/(E143+G143)</f>
        <v>0.93457943925233644</v>
      </c>
      <c r="J143" s="31">
        <f t="shared" si="60"/>
        <v>0.74257425742574257</v>
      </c>
      <c r="K143" s="33">
        <f t="shared" ref="K143:L147" si="61">-LN(I143)</f>
        <v>6.7658648473814809E-2</v>
      </c>
      <c r="L143" s="33">
        <f t="shared" si="61"/>
        <v>0.297632403304949</v>
      </c>
      <c r="M143" s="34" cm="1">
        <f t="array" ref="M143:N147">LINEST(L143:L145,K143:K145,FALSE,TRUE)</f>
        <v>4.4400001368342368</v>
      </c>
      <c r="N143" s="34">
        <v>0</v>
      </c>
      <c r="O143" s="176">
        <f t="shared" ref="O143" si="62">TINV(0.32,N146)*M144</f>
        <v>4.766705053632711E-2</v>
      </c>
      <c r="P143" s="179">
        <f>O143*100/M143</f>
        <v>1.0735821862004304</v>
      </c>
      <c r="Q143" s="173">
        <f>-1.99*273*LN(M143)/1000</f>
        <v>-0.80982781983358232</v>
      </c>
      <c r="R143" s="173">
        <f>ABS(1.99*273*O143/M143/1000)</f>
        <v>5.8324499429710788E-3</v>
      </c>
      <c r="S143" s="73"/>
    </row>
    <row r="144" spans="1:19" ht="14">
      <c r="A144" s="183"/>
      <c r="B144" s="22">
        <v>0.2</v>
      </c>
      <c r="C144" s="22">
        <v>0.2</v>
      </c>
      <c r="D144" s="15">
        <v>0.08</v>
      </c>
      <c r="E144" s="23">
        <v>1</v>
      </c>
      <c r="F144" s="23">
        <v>0.61</v>
      </c>
      <c r="G144" s="23">
        <v>0.15</v>
      </c>
      <c r="H144" s="27">
        <v>0.54</v>
      </c>
      <c r="I144" s="24">
        <f t="shared" si="60"/>
        <v>0.86956521739130443</v>
      </c>
      <c r="J144" s="23">
        <f t="shared" si="60"/>
        <v>0.5304347826086957</v>
      </c>
      <c r="K144" s="25">
        <f t="shared" si="61"/>
        <v>0.1397619423751586</v>
      </c>
      <c r="L144" s="25">
        <f t="shared" si="61"/>
        <v>0.63405826418993871</v>
      </c>
      <c r="M144" s="26">
        <v>3.634326992751051E-2</v>
      </c>
      <c r="N144" s="26" t="e">
        <v>#N/A</v>
      </c>
      <c r="O144" s="177"/>
      <c r="P144" s="180"/>
      <c r="Q144" s="174"/>
      <c r="R144" s="174"/>
      <c r="S144" s="74"/>
    </row>
    <row r="145" spans="1:19">
      <c r="A145" s="183"/>
      <c r="B145" s="22">
        <v>0.2</v>
      </c>
      <c r="C145" s="22">
        <v>0.2</v>
      </c>
      <c r="D145" s="22">
        <v>0.12</v>
      </c>
      <c r="E145" s="23">
        <v>1</v>
      </c>
      <c r="F145" s="23">
        <v>0.39</v>
      </c>
      <c r="G145" s="23">
        <v>0.28999999999999998</v>
      </c>
      <c r="H145" s="27">
        <v>0.80999999999999994</v>
      </c>
      <c r="I145" s="24">
        <f t="shared" si="60"/>
        <v>0.77519379844961234</v>
      </c>
      <c r="J145" s="23">
        <f t="shared" si="60"/>
        <v>0.32500000000000001</v>
      </c>
      <c r="K145" s="25">
        <f t="shared" si="61"/>
        <v>0.25464221837358081</v>
      </c>
      <c r="L145" s="25">
        <f t="shared" si="61"/>
        <v>1.1239300966523995</v>
      </c>
      <c r="M145" s="26">
        <v>0.9998660157234871</v>
      </c>
      <c r="N145" s="26">
        <v>1.083942230359082E-2</v>
      </c>
      <c r="O145" s="177"/>
      <c r="P145" s="180"/>
      <c r="Q145" s="174"/>
      <c r="R145" s="174"/>
      <c r="S145" s="55"/>
    </row>
    <row r="146" spans="1:19">
      <c r="A146" s="183"/>
      <c r="B146" s="22">
        <v>0.2</v>
      </c>
      <c r="C146" s="22">
        <v>0.2</v>
      </c>
      <c r="D146" s="15">
        <v>0.16</v>
      </c>
      <c r="E146" s="27">
        <v>1</v>
      </c>
      <c r="F146" s="27">
        <v>0.26</v>
      </c>
      <c r="G146" s="27">
        <v>0.5</v>
      </c>
      <c r="H146" s="27">
        <v>1.24</v>
      </c>
      <c r="I146" s="24">
        <f t="shared" si="60"/>
        <v>0.66666666666666663</v>
      </c>
      <c r="J146" s="23">
        <f t="shared" si="60"/>
        <v>0.17333333333333334</v>
      </c>
      <c r="K146" s="25">
        <f t="shared" si="61"/>
        <v>0.40546510810816444</v>
      </c>
      <c r="L146" s="25">
        <f t="shared" si="61"/>
        <v>1.7525387560747736</v>
      </c>
      <c r="M146" s="26">
        <v>14925.124675014138</v>
      </c>
      <c r="N146" s="26">
        <v>2</v>
      </c>
      <c r="O146" s="177"/>
      <c r="P146" s="180"/>
      <c r="Q146" s="174"/>
      <c r="R146" s="174"/>
      <c r="S146" s="55"/>
    </row>
    <row r="147" spans="1:19">
      <c r="A147" s="196"/>
      <c r="B147" s="22">
        <v>0.2</v>
      </c>
      <c r="C147" s="22">
        <v>0.2</v>
      </c>
      <c r="D147" s="15">
        <v>0.2</v>
      </c>
      <c r="E147" s="27">
        <v>1</v>
      </c>
      <c r="F147" s="27">
        <v>0.28999999999999998</v>
      </c>
      <c r="G147" s="27">
        <v>0.45</v>
      </c>
      <c r="H147" s="27">
        <v>1.1399999999999999</v>
      </c>
      <c r="I147" s="27">
        <f t="shared" si="60"/>
        <v>0.68965517241379315</v>
      </c>
      <c r="J147" s="23">
        <f t="shared" si="60"/>
        <v>0.20279720279720279</v>
      </c>
      <c r="K147" s="51">
        <f t="shared" si="61"/>
        <v>0.37156355643248296</v>
      </c>
      <c r="L147" s="25">
        <f t="shared" si="61"/>
        <v>1.5955488002734333</v>
      </c>
      <c r="M147" s="26">
        <v>1.7535988058939589</v>
      </c>
      <c r="N147" s="26">
        <v>2.3498615175116422E-4</v>
      </c>
      <c r="O147" s="192"/>
      <c r="P147" s="180"/>
      <c r="Q147" s="174"/>
      <c r="R147" s="174"/>
      <c r="S147" s="55"/>
    </row>
    <row r="148" spans="1:19" s="38" customFormat="1">
      <c r="A148" s="92" t="s">
        <v>739</v>
      </c>
      <c r="B148" s="35"/>
      <c r="C148" s="35"/>
      <c r="D148" s="35"/>
      <c r="E148" s="36"/>
      <c r="F148" s="36"/>
      <c r="G148" s="36"/>
      <c r="H148" s="36"/>
      <c r="I148" s="36"/>
      <c r="J148" s="36"/>
      <c r="K148" s="37"/>
      <c r="L148" s="37"/>
      <c r="M148" s="52">
        <f>M143*2*0.96/(0.18+0.96)</f>
        <v>7.4778949672997683</v>
      </c>
      <c r="N148" s="54"/>
      <c r="O148" s="13">
        <f>O143*2*0.96/(0.18+0.96)</f>
        <v>8.0281348271708811E-2</v>
      </c>
      <c r="P148" s="40">
        <f>O143*100/M143</f>
        <v>1.0735821862004304</v>
      </c>
      <c r="Q148" s="41">
        <f>-1.99*273*LN(M148)/1000</f>
        <v>-1.093032799535838</v>
      </c>
      <c r="R148" s="41">
        <f>ABS(1.99*273*O148/M148/1000)</f>
        <v>5.8324499429710788E-3</v>
      </c>
      <c r="S148" s="75"/>
    </row>
    <row r="149" spans="1:19">
      <c r="A149" s="91" t="s">
        <v>740</v>
      </c>
      <c r="B149" s="45"/>
      <c r="C149" s="45"/>
      <c r="D149" s="45"/>
      <c r="E149" s="46"/>
      <c r="F149" s="46"/>
      <c r="G149" s="46"/>
      <c r="H149" s="46"/>
      <c r="I149" s="46"/>
      <c r="J149" s="46"/>
      <c r="K149" s="47"/>
      <c r="L149" s="47"/>
      <c r="M149" s="26">
        <f>M143*2*0.18/(0.18+0.96)</f>
        <v>1.4021053063687063</v>
      </c>
      <c r="N149" s="53"/>
      <c r="O149" s="13">
        <f>O143*2*0.18/(0.18+0.96)</f>
        <v>1.5052752800945405E-2</v>
      </c>
      <c r="P149" s="14">
        <f>O143*100/M143</f>
        <v>1.0735821862004304</v>
      </c>
      <c r="Q149" s="15">
        <f>-1.99*273*LN(M149)/1000</f>
        <v>-0.18361162246935572</v>
      </c>
      <c r="R149" s="15">
        <f>ABS(1.99*273*O149/M149/1000)</f>
        <v>5.8324499429710797E-3</v>
      </c>
      <c r="S149" s="55"/>
    </row>
    <row r="150" spans="1:19" s="19" customFormat="1">
      <c r="A150" s="182" t="s">
        <v>760</v>
      </c>
      <c r="B150" s="30">
        <v>0.2</v>
      </c>
      <c r="C150" s="30">
        <v>0.2</v>
      </c>
      <c r="D150" s="18">
        <v>0.04</v>
      </c>
      <c r="E150" s="31">
        <v>1</v>
      </c>
      <c r="F150" s="31">
        <v>0.72</v>
      </c>
      <c r="G150" s="31">
        <v>0.12</v>
      </c>
      <c r="H150" s="32">
        <v>0.38</v>
      </c>
      <c r="I150" s="32">
        <f t="shared" ref="I150:J152" si="63">E150/(E150+G150)</f>
        <v>0.89285714285714279</v>
      </c>
      <c r="J150" s="31">
        <f t="shared" si="63"/>
        <v>0.65454545454545443</v>
      </c>
      <c r="K150" s="33">
        <f t="shared" ref="K150:L152" si="64">-LN(I150)</f>
        <v>0.11332868530700324</v>
      </c>
      <c r="L150" s="33">
        <f t="shared" si="64"/>
        <v>0.42381424677636109</v>
      </c>
      <c r="M150" s="34" cm="1">
        <f t="array" ref="M150:N154">LINEST(L150:L152,K150:K152,FALSE,TRUE)</f>
        <v>4.2846077106388538</v>
      </c>
      <c r="N150" s="34">
        <v>0</v>
      </c>
      <c r="O150" s="176">
        <f>TINV(0.32,N153)*M151</f>
        <v>0.34366226290820584</v>
      </c>
      <c r="P150" s="179">
        <f>O150*100/M150</f>
        <v>8.0208571266601272</v>
      </c>
      <c r="Q150" s="173">
        <f>-1.99*273*LN(M150)/1000</f>
        <v>-0.79047360396963917</v>
      </c>
      <c r="R150" s="173">
        <f>ABS(1.99*273*O150/M150/1000)</f>
        <v>4.3574910512006473E-2</v>
      </c>
      <c r="S150" s="77"/>
    </row>
    <row r="151" spans="1:19">
      <c r="A151" s="183"/>
      <c r="B151" s="22">
        <v>0.2</v>
      </c>
      <c r="C151" s="22">
        <v>0.2</v>
      </c>
      <c r="D151" s="15">
        <v>0.06</v>
      </c>
      <c r="E151" s="23">
        <v>1</v>
      </c>
      <c r="F151" s="23">
        <v>0.73</v>
      </c>
      <c r="G151" s="23">
        <v>0.13</v>
      </c>
      <c r="H151" s="27">
        <v>0.5</v>
      </c>
      <c r="I151" s="24">
        <f t="shared" si="63"/>
        <v>0.88495575221238942</v>
      </c>
      <c r="J151" s="23">
        <f t="shared" si="63"/>
        <v>0.5934959349593496</v>
      </c>
      <c r="K151" s="25">
        <f t="shared" si="64"/>
        <v>0.12221763272424915</v>
      </c>
      <c r="L151" s="25">
        <f t="shared" si="64"/>
        <v>0.52172491422402634</v>
      </c>
      <c r="M151" s="26">
        <v>0.26202188396895904</v>
      </c>
      <c r="N151" s="26" t="e">
        <v>#N/A</v>
      </c>
      <c r="O151" s="177"/>
      <c r="P151" s="180"/>
      <c r="Q151" s="174"/>
      <c r="R151" s="174"/>
      <c r="S151" s="55"/>
    </row>
    <row r="152" spans="1:19">
      <c r="A152" s="183"/>
      <c r="B152" s="22">
        <v>0.2</v>
      </c>
      <c r="C152" s="22">
        <v>0.2</v>
      </c>
      <c r="D152" s="22">
        <v>0.08</v>
      </c>
      <c r="E152" s="23">
        <v>1</v>
      </c>
      <c r="F152" s="23">
        <v>0.6</v>
      </c>
      <c r="G152" s="23">
        <v>0.15</v>
      </c>
      <c r="H152" s="27">
        <v>0.55000000000000004</v>
      </c>
      <c r="I152" s="24">
        <f t="shared" si="63"/>
        <v>0.86956521739130443</v>
      </c>
      <c r="J152" s="23">
        <f t="shared" si="63"/>
        <v>0.52173913043478259</v>
      </c>
      <c r="K152" s="25">
        <f t="shared" si="64"/>
        <v>0.1397619423751586</v>
      </c>
      <c r="L152" s="25">
        <f t="shared" si="64"/>
        <v>0.65058756614114943</v>
      </c>
      <c r="M152" s="26">
        <v>0.99257585064625709</v>
      </c>
      <c r="N152" s="26">
        <v>5.6994392361971818E-2</v>
      </c>
      <c r="O152" s="177"/>
      <c r="P152" s="180"/>
      <c r="Q152" s="174"/>
      <c r="R152" s="174"/>
      <c r="S152" s="55"/>
    </row>
    <row r="153" spans="1:19">
      <c r="A153" s="183"/>
      <c r="B153" s="45"/>
      <c r="C153" s="45"/>
      <c r="D153" s="45"/>
      <c r="E153" s="46"/>
      <c r="F153" s="46"/>
      <c r="G153" s="46"/>
      <c r="H153" s="46"/>
      <c r="I153" s="46"/>
      <c r="J153" s="46"/>
      <c r="K153" s="47"/>
      <c r="L153" s="47"/>
      <c r="M153" s="26">
        <v>267.39113219640461</v>
      </c>
      <c r="N153" s="26">
        <v>2</v>
      </c>
      <c r="O153" s="177"/>
      <c r="P153" s="180"/>
      <c r="Q153" s="174"/>
      <c r="R153" s="174"/>
      <c r="S153" s="55"/>
    </row>
    <row r="154" spans="1:19">
      <c r="A154" s="184"/>
      <c r="B154" s="42"/>
      <c r="C154" s="45"/>
      <c r="D154" s="45"/>
      <c r="E154" s="46"/>
      <c r="F154" s="46"/>
      <c r="G154" s="46"/>
      <c r="H154" s="46"/>
      <c r="I154" s="46"/>
      <c r="J154" s="46"/>
      <c r="K154" s="47"/>
      <c r="L154" s="47"/>
      <c r="M154" s="26">
        <v>0.86858286158872577</v>
      </c>
      <c r="N154" s="26">
        <v>6.4967215214207837E-3</v>
      </c>
      <c r="O154" s="178"/>
      <c r="P154" s="181"/>
      <c r="Q154" s="175"/>
      <c r="R154" s="175"/>
      <c r="S154" s="55"/>
    </row>
    <row r="155" spans="1:19" s="19" customFormat="1">
      <c r="A155" s="182" t="s">
        <v>761</v>
      </c>
      <c r="B155" s="30">
        <v>0.2</v>
      </c>
      <c r="C155" s="30">
        <v>0.2</v>
      </c>
      <c r="D155" s="18">
        <v>0.04</v>
      </c>
      <c r="E155" s="31">
        <v>1</v>
      </c>
      <c r="F155" s="31">
        <v>0.61</v>
      </c>
      <c r="G155" s="31">
        <v>0.14000000000000001</v>
      </c>
      <c r="H155" s="32">
        <v>0.45</v>
      </c>
      <c r="I155" s="32">
        <f t="shared" ref="I155:J157" si="65">E155/(E155+G155)</f>
        <v>0.8771929824561403</v>
      </c>
      <c r="J155" s="31">
        <f t="shared" si="65"/>
        <v>0.57547169811320753</v>
      </c>
      <c r="K155" s="33">
        <f t="shared" ref="K155:L157" si="66">-LN(I155)</f>
        <v>0.13102826240640414</v>
      </c>
      <c r="L155" s="33">
        <f t="shared" si="66"/>
        <v>0.5525652299387559</v>
      </c>
      <c r="M155" s="34" cm="1">
        <f t="array" ref="M155:N159">LINEST(L155:L157,K155:K157,FALSE,TRUE)</f>
        <v>4.1054554999418817</v>
      </c>
      <c r="N155" s="34">
        <v>0</v>
      </c>
      <c r="O155" s="176">
        <f t="shared" ref="O155" si="67">TINV(0.32,N158)*M156</f>
        <v>0.12040366652854741</v>
      </c>
      <c r="P155" s="179">
        <f>O155*100/M155</f>
        <v>2.9327724178292005</v>
      </c>
      <c r="Q155" s="173">
        <f>-1.99*273*LN(M155)/1000</f>
        <v>-0.76726929305244729</v>
      </c>
      <c r="R155" s="173">
        <f>ABS(1.99*273*O155/M155/1000)</f>
        <v>1.5932872714340695E-2</v>
      </c>
      <c r="S155" s="77"/>
    </row>
    <row r="156" spans="1:19">
      <c r="A156" s="183"/>
      <c r="B156" s="22">
        <v>0.2</v>
      </c>
      <c r="C156" s="22">
        <v>0.2</v>
      </c>
      <c r="D156" s="15">
        <v>0.06</v>
      </c>
      <c r="E156" s="23">
        <v>1</v>
      </c>
      <c r="F156" s="23">
        <v>0.57999999999999996</v>
      </c>
      <c r="G156" s="23">
        <v>0.17</v>
      </c>
      <c r="H156" s="27">
        <v>0.56999999999999995</v>
      </c>
      <c r="I156" s="24">
        <f t="shared" si="65"/>
        <v>0.85470085470085477</v>
      </c>
      <c r="J156" s="23">
        <f t="shared" si="65"/>
        <v>0.5043478260869565</v>
      </c>
      <c r="K156" s="25">
        <f t="shared" si="66"/>
        <v>0.15700374880966467</v>
      </c>
      <c r="L156" s="25">
        <f t="shared" si="66"/>
        <v>0.68448911781683075</v>
      </c>
      <c r="M156" s="26">
        <v>9.1800581401068879E-2</v>
      </c>
      <c r="N156" s="26" t="e">
        <v>#N/A</v>
      </c>
      <c r="O156" s="177"/>
      <c r="P156" s="180"/>
      <c r="Q156" s="174"/>
      <c r="R156" s="174"/>
      <c r="S156" s="55"/>
    </row>
    <row r="157" spans="1:19">
      <c r="A157" s="183"/>
      <c r="B157" s="22">
        <v>0.2</v>
      </c>
      <c r="C157" s="22">
        <v>0.2</v>
      </c>
      <c r="D157" s="22">
        <v>0.08</v>
      </c>
      <c r="E157" s="23">
        <v>1</v>
      </c>
      <c r="F157" s="23">
        <v>0.38</v>
      </c>
      <c r="G157" s="23">
        <v>0.38</v>
      </c>
      <c r="H157" s="27">
        <v>1.01</v>
      </c>
      <c r="I157" s="24">
        <f t="shared" si="65"/>
        <v>0.7246376811594204</v>
      </c>
      <c r="J157" s="23">
        <f t="shared" si="65"/>
        <v>0.27338129496402874</v>
      </c>
      <c r="K157" s="25">
        <f t="shared" si="66"/>
        <v>0.32208349916911316</v>
      </c>
      <c r="L157" s="25">
        <f t="shared" si="66"/>
        <v>1.2968877734043061</v>
      </c>
      <c r="M157" s="26">
        <v>0.99900100322700447</v>
      </c>
      <c r="N157" s="26">
        <v>3.502361978853924E-2</v>
      </c>
      <c r="O157" s="177"/>
      <c r="P157" s="180"/>
      <c r="Q157" s="174"/>
      <c r="R157" s="174"/>
      <c r="S157" s="55"/>
    </row>
    <row r="158" spans="1:19">
      <c r="A158" s="183"/>
      <c r="B158" s="45"/>
      <c r="C158" s="45"/>
      <c r="D158" s="45"/>
      <c r="E158" s="46"/>
      <c r="F158" s="46"/>
      <c r="G158" s="46"/>
      <c r="H158" s="46"/>
      <c r="I158" s="46"/>
      <c r="J158" s="46"/>
      <c r="K158" s="47"/>
      <c r="L158" s="47"/>
      <c r="M158" s="26">
        <v>2000.0084689590508</v>
      </c>
      <c r="N158" s="26">
        <v>2</v>
      </c>
      <c r="O158" s="177"/>
      <c r="P158" s="180"/>
      <c r="Q158" s="174"/>
      <c r="R158" s="174"/>
      <c r="S158" s="55"/>
    </row>
    <row r="159" spans="1:19">
      <c r="A159" s="184"/>
      <c r="B159" s="42"/>
      <c r="C159" s="45"/>
      <c r="D159" s="45"/>
      <c r="E159" s="46"/>
      <c r="F159" s="46"/>
      <c r="G159" s="46"/>
      <c r="H159" s="46"/>
      <c r="I159" s="46"/>
      <c r="J159" s="46"/>
      <c r="K159" s="47"/>
      <c r="L159" s="47"/>
      <c r="M159" s="26">
        <v>2.4533182746663282</v>
      </c>
      <c r="N159" s="26">
        <v>2.4533078861843148E-3</v>
      </c>
      <c r="O159" s="178"/>
      <c r="P159" s="181"/>
      <c r="Q159" s="175"/>
      <c r="R159" s="175"/>
      <c r="S159" s="55"/>
    </row>
    <row r="160" spans="1:19" s="19" customFormat="1">
      <c r="A160" s="182" t="s">
        <v>762</v>
      </c>
      <c r="B160" s="30">
        <v>0.2</v>
      </c>
      <c r="C160" s="30">
        <v>0.2</v>
      </c>
      <c r="D160" s="18">
        <v>0.04</v>
      </c>
      <c r="E160" s="31">
        <v>1</v>
      </c>
      <c r="F160" s="31">
        <v>0.69</v>
      </c>
      <c r="G160" s="31">
        <v>7.4999999999999997E-2</v>
      </c>
      <c r="H160" s="32">
        <v>0.31</v>
      </c>
      <c r="I160" s="32">
        <f t="shared" ref="I160:J162" si="68">E160/(E160+G160)</f>
        <v>0.93023255813953487</v>
      </c>
      <c r="J160" s="31">
        <f t="shared" si="68"/>
        <v>0.69</v>
      </c>
      <c r="K160" s="33">
        <f t="shared" ref="K160:L162" si="69">-LN(I160)</f>
        <v>7.2320661579626133E-2</v>
      </c>
      <c r="L160" s="33">
        <f t="shared" si="69"/>
        <v>0.37106368139083207</v>
      </c>
      <c r="M160" s="34" cm="1">
        <f t="array" ref="M160:N164">LINEST(L160:L162,K160:K162,FALSE,TRUE)</f>
        <v>3.9413726060829899</v>
      </c>
      <c r="N160" s="34">
        <v>0</v>
      </c>
      <c r="O160" s="176">
        <f t="shared" ref="O160" si="70">TINV(0.32,N163)*M161</f>
        <v>0.54790214005624271</v>
      </c>
      <c r="P160" s="179">
        <f>O160*100/M160</f>
        <v>13.90130279006425</v>
      </c>
      <c r="Q160" s="173">
        <f>-1.99*273*LN(M160)/1000</f>
        <v>-0.74511058146248288</v>
      </c>
      <c r="R160" s="173">
        <f>ABS(1.99*273*O160/M160/1000)</f>
        <v>7.5521607667582064E-2</v>
      </c>
      <c r="S160" s="77"/>
    </row>
    <row r="161" spans="1:19">
      <c r="A161" s="183"/>
      <c r="B161" s="22">
        <v>0.2</v>
      </c>
      <c r="C161" s="22">
        <v>0.2</v>
      </c>
      <c r="D161" s="15">
        <v>0.06</v>
      </c>
      <c r="E161" s="23">
        <v>1</v>
      </c>
      <c r="F161" s="23">
        <v>0.7</v>
      </c>
      <c r="G161" s="23">
        <v>9.9000000000000005E-2</v>
      </c>
      <c r="H161" s="27">
        <v>0.33</v>
      </c>
      <c r="I161" s="24">
        <f t="shared" si="68"/>
        <v>0.90991810737033674</v>
      </c>
      <c r="J161" s="23">
        <f t="shared" si="68"/>
        <v>0.67961165048543681</v>
      </c>
      <c r="K161" s="25">
        <f t="shared" si="69"/>
        <v>9.440067542148424E-2</v>
      </c>
      <c r="L161" s="25">
        <f t="shared" si="69"/>
        <v>0.38623374618027689</v>
      </c>
      <c r="M161" s="26">
        <v>0.41774255268320659</v>
      </c>
      <c r="N161" s="26" t="e">
        <v>#N/A</v>
      </c>
      <c r="O161" s="177"/>
      <c r="P161" s="180"/>
      <c r="Q161" s="174"/>
      <c r="R161" s="174"/>
      <c r="S161" s="55"/>
    </row>
    <row r="162" spans="1:19">
      <c r="A162" s="183"/>
      <c r="B162" s="22">
        <v>0.2</v>
      </c>
      <c r="C162" s="22">
        <v>0.2</v>
      </c>
      <c r="D162" s="22">
        <v>0.08</v>
      </c>
      <c r="E162" s="23">
        <v>1</v>
      </c>
      <c r="F162" s="23">
        <v>0.67</v>
      </c>
      <c r="G162" s="23">
        <v>0.14000000000000001</v>
      </c>
      <c r="H162" s="27">
        <v>0.39</v>
      </c>
      <c r="I162" s="24">
        <f t="shared" si="68"/>
        <v>0.8771929824561403</v>
      </c>
      <c r="J162" s="23">
        <f t="shared" si="68"/>
        <v>0.63207547169811318</v>
      </c>
      <c r="K162" s="25">
        <f t="shared" si="69"/>
        <v>0.13102826240640414</v>
      </c>
      <c r="L162" s="25">
        <f t="shared" si="69"/>
        <v>0.45874647472110114</v>
      </c>
      <c r="M162" s="26">
        <v>0.97802631072880486</v>
      </c>
      <c r="N162" s="26">
        <v>7.3918209255409359E-2</v>
      </c>
      <c r="O162" s="177"/>
      <c r="P162" s="180"/>
      <c r="Q162" s="174"/>
      <c r="R162" s="174"/>
      <c r="S162" s="55"/>
    </row>
    <row r="163" spans="1:19">
      <c r="A163" s="183"/>
      <c r="B163" s="45"/>
      <c r="C163" s="45"/>
      <c r="D163" s="45"/>
      <c r="E163" s="46"/>
      <c r="F163" s="46"/>
      <c r="G163" s="46"/>
      <c r="H163" s="46"/>
      <c r="I163" s="46"/>
      <c r="J163" s="46"/>
      <c r="K163" s="47"/>
      <c r="L163" s="47"/>
      <c r="M163" s="26">
        <v>89.017943109888208</v>
      </c>
      <c r="N163" s="26">
        <v>2</v>
      </c>
      <c r="O163" s="177"/>
      <c r="P163" s="180"/>
      <c r="Q163" s="174"/>
      <c r="R163" s="174"/>
      <c r="S163" s="55"/>
    </row>
    <row r="164" spans="1:19">
      <c r="A164" s="184"/>
      <c r="B164" s="42"/>
      <c r="C164" s="45"/>
      <c r="D164" s="45"/>
      <c r="E164" s="46"/>
      <c r="F164" s="46"/>
      <c r="G164" s="46"/>
      <c r="H164" s="46"/>
      <c r="I164" s="46"/>
      <c r="J164" s="46"/>
      <c r="K164" s="47"/>
      <c r="L164" s="47"/>
      <c r="M164" s="26">
        <v>0.48638528708575246</v>
      </c>
      <c r="N164" s="26">
        <v>1.0927803319052971E-2</v>
      </c>
      <c r="O164" s="178"/>
      <c r="P164" s="181"/>
      <c r="Q164" s="175"/>
      <c r="R164" s="175"/>
      <c r="S164" s="55"/>
    </row>
    <row r="165" spans="1:19" s="19" customFormat="1">
      <c r="A165" s="182" t="s">
        <v>763</v>
      </c>
      <c r="B165" s="30">
        <v>0.2</v>
      </c>
      <c r="C165" s="30">
        <v>0.2</v>
      </c>
      <c r="D165" s="18">
        <v>0.5</v>
      </c>
      <c r="E165" s="31">
        <v>1</v>
      </c>
      <c r="F165" s="31">
        <v>0.57499999999999996</v>
      </c>
      <c r="G165" s="31">
        <v>0.27</v>
      </c>
      <c r="H165" s="32">
        <v>0.56000000000000005</v>
      </c>
      <c r="I165" s="32">
        <f t="shared" ref="I165:J167" si="71">E165/(E165+G165)</f>
        <v>0.78740157480314954</v>
      </c>
      <c r="J165" s="31">
        <f t="shared" si="71"/>
        <v>0.50660792951541844</v>
      </c>
      <c r="K165" s="33">
        <f t="shared" ref="K165:L167" si="72">-LN(I165)</f>
        <v>0.23901690047049998</v>
      </c>
      <c r="L165" s="33">
        <f t="shared" si="72"/>
        <v>0.68001788911815275</v>
      </c>
      <c r="M165" s="34" cm="1">
        <f t="array" ref="M165:N169">LINEST(L165:L167,K165:K167,FALSE,TRUE)</f>
        <v>2.8593285139966143</v>
      </c>
      <c r="N165" s="34">
        <v>0</v>
      </c>
      <c r="O165" s="176">
        <f t="shared" ref="O165" si="73">TINV(0.32,N168)*M166</f>
        <v>3.9730265165042453E-2</v>
      </c>
      <c r="P165" s="179">
        <f>O165*100/M165</f>
        <v>1.3894963440038459</v>
      </c>
      <c r="Q165" s="173">
        <f>-1.99*273*LN(M165)/1000</f>
        <v>-0.57075229732780763</v>
      </c>
      <c r="R165" s="173">
        <f>ABS(1.99*273*O165/M165/1000)</f>
        <v>7.5487167880696933E-3</v>
      </c>
      <c r="S165" s="77"/>
    </row>
    <row r="166" spans="1:19">
      <c r="A166" s="183"/>
      <c r="B166" s="22">
        <v>0.2</v>
      </c>
      <c r="C166" s="22">
        <v>0.2</v>
      </c>
      <c r="D166" s="15">
        <v>1</v>
      </c>
      <c r="E166" s="23">
        <v>1</v>
      </c>
      <c r="F166" s="23">
        <v>0.32500000000000001</v>
      </c>
      <c r="G166" s="23">
        <v>0.72</v>
      </c>
      <c r="H166" s="27">
        <v>1.26</v>
      </c>
      <c r="I166" s="24">
        <f t="shared" si="71"/>
        <v>0.58139534883720934</v>
      </c>
      <c r="J166" s="23">
        <f t="shared" si="71"/>
        <v>0.20504731861198738</v>
      </c>
      <c r="K166" s="25">
        <f t="shared" si="72"/>
        <v>0.5423242908253616</v>
      </c>
      <c r="L166" s="25">
        <f t="shared" si="72"/>
        <v>1.5845145039816435</v>
      </c>
      <c r="M166" s="26">
        <v>3.0291946636897261E-2</v>
      </c>
      <c r="N166" s="26" t="e">
        <v>#N/A</v>
      </c>
      <c r="O166" s="177"/>
      <c r="P166" s="180"/>
      <c r="Q166" s="174"/>
      <c r="R166" s="174"/>
      <c r="S166" s="55"/>
    </row>
    <row r="167" spans="1:19">
      <c r="A167" s="183"/>
      <c r="B167" s="22">
        <v>0.2</v>
      </c>
      <c r="C167" s="22">
        <v>0.2</v>
      </c>
      <c r="D167" s="22">
        <v>1.5</v>
      </c>
      <c r="E167" s="23">
        <v>1</v>
      </c>
      <c r="F167" s="23">
        <v>0.23499999999999999</v>
      </c>
      <c r="G167" s="23">
        <v>1.1299999999999999</v>
      </c>
      <c r="H167" s="27">
        <v>1.76</v>
      </c>
      <c r="I167" s="24">
        <f t="shared" si="71"/>
        <v>0.46948356807511737</v>
      </c>
      <c r="J167" s="23">
        <f t="shared" si="71"/>
        <v>0.11779448621553884</v>
      </c>
      <c r="K167" s="25">
        <f t="shared" si="72"/>
        <v>0.75612197972133377</v>
      </c>
      <c r="L167" s="25">
        <f t="shared" si="72"/>
        <v>2.1388138151798048</v>
      </c>
      <c r="M167" s="26">
        <v>0.99977558143719714</v>
      </c>
      <c r="N167" s="26">
        <v>2.9101799059138213E-2</v>
      </c>
      <c r="O167" s="177"/>
      <c r="P167" s="180"/>
      <c r="Q167" s="174"/>
      <c r="R167" s="174"/>
      <c r="S167" s="55"/>
    </row>
    <row r="168" spans="1:19">
      <c r="A168" s="183"/>
      <c r="B168" s="45"/>
      <c r="C168" s="45"/>
      <c r="D168" s="45"/>
      <c r="E168" s="46"/>
      <c r="F168" s="46"/>
      <c r="G168" s="46"/>
      <c r="H168" s="46"/>
      <c r="I168" s="46"/>
      <c r="J168" s="46"/>
      <c r="K168" s="47"/>
      <c r="L168" s="47"/>
      <c r="M168" s="26">
        <v>8909.9187602878646</v>
      </c>
      <c r="N168" s="26">
        <v>2</v>
      </c>
      <c r="O168" s="177"/>
      <c r="P168" s="180"/>
      <c r="Q168" s="174"/>
      <c r="R168" s="174"/>
      <c r="S168" s="55"/>
    </row>
    <row r="169" spans="1:19">
      <c r="A169" s="184"/>
      <c r="B169" s="42"/>
      <c r="C169" s="45"/>
      <c r="D169" s="45"/>
      <c r="E169" s="46"/>
      <c r="F169" s="46"/>
      <c r="G169" s="46"/>
      <c r="H169" s="46"/>
      <c r="I169" s="46"/>
      <c r="J169" s="46"/>
      <c r="K169" s="47"/>
      <c r="L169" s="47"/>
      <c r="M169" s="26">
        <v>7.5459412494359386</v>
      </c>
      <c r="N169" s="26">
        <v>1.6938294169569154E-3</v>
      </c>
      <c r="O169" s="178"/>
      <c r="P169" s="181"/>
      <c r="Q169" s="175"/>
      <c r="R169" s="175"/>
      <c r="S169" s="55"/>
    </row>
    <row r="170" spans="1:19" s="19" customFormat="1">
      <c r="A170" s="182" t="s">
        <v>764</v>
      </c>
      <c r="B170" s="30">
        <v>0.2</v>
      </c>
      <c r="C170" s="30">
        <v>0.2</v>
      </c>
      <c r="D170" s="18">
        <v>0.04</v>
      </c>
      <c r="E170" s="31">
        <v>1</v>
      </c>
      <c r="F170" s="31">
        <v>0.45</v>
      </c>
      <c r="G170" s="31">
        <v>0.21</v>
      </c>
      <c r="H170" s="32">
        <v>0.376</v>
      </c>
      <c r="I170" s="32">
        <f t="shared" ref="I170:J172" si="74">E170/(E170+G170)</f>
        <v>0.82644628099173556</v>
      </c>
      <c r="J170" s="31">
        <f t="shared" si="74"/>
        <v>0.5447941888619855</v>
      </c>
      <c r="K170" s="33">
        <f t="shared" ref="K170:L172" si="75">-LN(I170)</f>
        <v>0.1906203596086497</v>
      </c>
      <c r="L170" s="33">
        <f t="shared" si="75"/>
        <v>0.60734719075661259</v>
      </c>
      <c r="M170" s="34" cm="1">
        <f t="array" ref="M170:N174">LINEST(L170:L172,K170:K172,FALSE,TRUE)</f>
        <v>2.8105785282837363</v>
      </c>
      <c r="N170" s="34">
        <v>0</v>
      </c>
      <c r="O170" s="176">
        <f t="shared" ref="O170" si="76">TINV(0.32,N173)*M171</f>
        <v>0.11257764871283425</v>
      </c>
      <c r="P170" s="179">
        <f>O170*100/M170</f>
        <v>4.005497358637375</v>
      </c>
      <c r="Q170" s="173">
        <f>-1.99*273*LN(M170)/1000</f>
        <v>-0.56140997224267375</v>
      </c>
      <c r="R170" s="173">
        <f>ABS(1.99*273*O170/M170/1000)</f>
        <v>2.1760665500269265E-2</v>
      </c>
      <c r="S170" s="77"/>
    </row>
    <row r="171" spans="1:19">
      <c r="A171" s="183"/>
      <c r="B171" s="22">
        <v>0.2</v>
      </c>
      <c r="C171" s="22">
        <v>0.2</v>
      </c>
      <c r="D171" s="15">
        <v>0.08</v>
      </c>
      <c r="E171" s="23">
        <v>1</v>
      </c>
      <c r="F171" s="23">
        <v>0.57699999999999996</v>
      </c>
      <c r="G171" s="23">
        <v>0.36099999999999999</v>
      </c>
      <c r="H171" s="27">
        <v>0.77100000000000002</v>
      </c>
      <c r="I171" s="24">
        <f t="shared" si="74"/>
        <v>0.73475385745775168</v>
      </c>
      <c r="J171" s="23">
        <f t="shared" si="74"/>
        <v>0.42804154302670622</v>
      </c>
      <c r="K171" s="25">
        <f t="shared" si="75"/>
        <v>0.30821972366932898</v>
      </c>
      <c r="L171" s="25">
        <f t="shared" si="75"/>
        <v>0.84853502496415278</v>
      </c>
      <c r="M171" s="26">
        <v>8.5833711734626852E-2</v>
      </c>
      <c r="N171" s="26" t="e">
        <v>#N/A</v>
      </c>
      <c r="O171" s="177"/>
      <c r="P171" s="180"/>
      <c r="Q171" s="174"/>
      <c r="R171" s="174"/>
      <c r="S171" s="55"/>
    </row>
    <row r="172" spans="1:19">
      <c r="A172" s="183"/>
      <c r="B172" s="22">
        <v>0.2</v>
      </c>
      <c r="C172" s="22">
        <v>0.2</v>
      </c>
      <c r="D172" s="22">
        <v>0.12</v>
      </c>
      <c r="E172" s="23">
        <v>1</v>
      </c>
      <c r="F172" s="23">
        <v>0.41299999999999998</v>
      </c>
      <c r="G172" s="23">
        <v>0.65800000000000003</v>
      </c>
      <c r="H172" s="27">
        <v>1.27</v>
      </c>
      <c r="I172" s="24">
        <f t="shared" si="74"/>
        <v>0.60313630880579017</v>
      </c>
      <c r="J172" s="23">
        <f t="shared" si="74"/>
        <v>0.2453951277480689</v>
      </c>
      <c r="K172" s="25">
        <f t="shared" si="75"/>
        <v>0.50561205671310316</v>
      </c>
      <c r="L172" s="25">
        <f t="shared" si="75"/>
        <v>1.4048856012297732</v>
      </c>
      <c r="M172" s="26">
        <v>0.99813814871610418</v>
      </c>
      <c r="N172" s="26">
        <v>5.3395128051151514E-2</v>
      </c>
      <c r="O172" s="177"/>
      <c r="P172" s="180"/>
      <c r="Q172" s="174"/>
      <c r="R172" s="174"/>
      <c r="S172" s="55"/>
    </row>
    <row r="173" spans="1:19">
      <c r="A173" s="183"/>
      <c r="B173" s="45"/>
      <c r="C173" s="45"/>
      <c r="D173" s="45"/>
      <c r="E173" s="46"/>
      <c r="F173" s="46"/>
      <c r="G173" s="46"/>
      <c r="H173" s="46"/>
      <c r="I173" s="46"/>
      <c r="J173" s="46"/>
      <c r="K173" s="47"/>
      <c r="L173" s="47"/>
      <c r="M173" s="26">
        <v>1072.1996513357924</v>
      </c>
      <c r="N173" s="26">
        <v>2</v>
      </c>
      <c r="O173" s="177"/>
      <c r="P173" s="180"/>
      <c r="Q173" s="174"/>
      <c r="R173" s="174"/>
      <c r="S173" s="55"/>
    </row>
    <row r="174" spans="1:19">
      <c r="A174" s="183"/>
      <c r="B174" s="45"/>
      <c r="C174" s="45"/>
      <c r="D174" s="45"/>
      <c r="E174" s="46"/>
      <c r="F174" s="46"/>
      <c r="G174" s="46"/>
      <c r="H174" s="46"/>
      <c r="I174" s="46"/>
      <c r="J174" s="46"/>
      <c r="K174" s="47"/>
      <c r="L174" s="47"/>
      <c r="M174" s="26">
        <v>3.056883771854408</v>
      </c>
      <c r="N174" s="26">
        <v>5.7020793991977344E-3</v>
      </c>
      <c r="O174" s="177"/>
      <c r="P174" s="193"/>
      <c r="Q174" s="174"/>
      <c r="R174" s="174"/>
      <c r="S174" s="55"/>
    </row>
    <row r="175" spans="1:19" s="38" customFormat="1">
      <c r="A175" s="92" t="s">
        <v>765</v>
      </c>
      <c r="B175" s="35"/>
      <c r="C175" s="35"/>
      <c r="D175" s="35"/>
      <c r="E175" s="36"/>
      <c r="F175" s="36"/>
      <c r="G175" s="36"/>
      <c r="H175" s="36"/>
      <c r="I175" s="36"/>
      <c r="J175" s="36"/>
      <c r="K175" s="37"/>
      <c r="L175" s="37"/>
      <c r="M175" s="52">
        <f>M170*2*1.181/(0.089+1.181)</f>
        <v>5.227233451815894</v>
      </c>
      <c r="N175" s="58"/>
      <c r="O175" s="39">
        <f>O170*2*1.181/(0.089+1.181)</f>
        <v>0.2093766978422949</v>
      </c>
      <c r="P175" s="40">
        <f>O143*100/M143</f>
        <v>1.0735821862004304</v>
      </c>
      <c r="Q175" s="41">
        <f>-1.99*273*LN(M175)/1000</f>
        <v>-0.89850456182978222</v>
      </c>
      <c r="R175" s="41">
        <f>ABS(1.99*273*O175/M175/1000)</f>
        <v>2.1760665500269265E-2</v>
      </c>
      <c r="S175" s="75"/>
    </row>
    <row r="176" spans="1:19">
      <c r="A176" s="91" t="s">
        <v>766</v>
      </c>
      <c r="B176" s="45"/>
      <c r="C176" s="45"/>
      <c r="D176" s="45"/>
      <c r="E176" s="46"/>
      <c r="F176" s="46"/>
      <c r="G176" s="46"/>
      <c r="H176" s="46"/>
      <c r="I176" s="46"/>
      <c r="J176" s="46"/>
      <c r="K176" s="47"/>
      <c r="L176" s="47"/>
      <c r="M176" s="26">
        <f>M170*2*0.089/(0.089+1.181)</f>
        <v>0.39392360475157878</v>
      </c>
      <c r="N176" s="53"/>
      <c r="O176" s="13">
        <f>O170*2*0.089/(0.089+1.181)</f>
        <v>1.5778599583373618E-2</v>
      </c>
      <c r="P176" s="14">
        <f>O143*100/M143</f>
        <v>1.0735821862004304</v>
      </c>
      <c r="Q176" s="15">
        <f>-1.99*273*LN(M176)/1000</f>
        <v>0.50610940032137908</v>
      </c>
      <c r="R176" s="15">
        <f>ABS(1.99*273*O176/M176/1000)</f>
        <v>2.1760665500269262E-2</v>
      </c>
      <c r="S176" s="55"/>
    </row>
    <row r="177" spans="1:19" s="19" customFormat="1">
      <c r="A177" s="182" t="s">
        <v>767</v>
      </c>
      <c r="B177" s="30">
        <v>0.2</v>
      </c>
      <c r="C177" s="30">
        <v>0.2</v>
      </c>
      <c r="D177" s="18">
        <v>0.04</v>
      </c>
      <c r="E177" s="31">
        <v>1</v>
      </c>
      <c r="F177" s="31">
        <v>0.83299999999999996</v>
      </c>
      <c r="G177" s="31">
        <v>0.11</v>
      </c>
      <c r="H177" s="32">
        <v>0.28999999999999998</v>
      </c>
      <c r="I177" s="32">
        <f t="shared" ref="I177:J179" si="77">E177/(E177+G177)</f>
        <v>0.9009009009009008</v>
      </c>
      <c r="J177" s="31">
        <f t="shared" si="77"/>
        <v>0.74176313446126441</v>
      </c>
      <c r="K177" s="33">
        <f>-LN(I177)</f>
        <v>0.10436001532424288</v>
      </c>
      <c r="L177" s="33">
        <f t="shared" ref="L177:L179" si="78">-LN(J177)</f>
        <v>0.29872531257160057</v>
      </c>
      <c r="M177" s="34" cm="1">
        <f t="array" ref="M177:N181">LINEST(L177:L179,K177:K179,FALSE,TRUE)</f>
        <v>2.7107445015782532</v>
      </c>
      <c r="N177" s="34">
        <v>0</v>
      </c>
      <c r="O177" s="176">
        <f>TINV(0.32,N180)*M178</f>
        <v>6.0219939610651384E-2</v>
      </c>
      <c r="P177" s="179">
        <f>O177*100/M177</f>
        <v>2.2215276864193605</v>
      </c>
      <c r="Q177" s="173">
        <f>-1.99*273*LN(M177)/1000</f>
        <v>-0.54176151359507507</v>
      </c>
      <c r="R177" s="173">
        <f>ABS(1.99*273*O177/M177/1000)</f>
        <v>1.2068893462010457E-2</v>
      </c>
      <c r="S177" s="77"/>
    </row>
    <row r="178" spans="1:19">
      <c r="A178" s="183"/>
      <c r="B178" s="22">
        <v>0.2</v>
      </c>
      <c r="C178" s="22">
        <v>0.2</v>
      </c>
      <c r="D178" s="15">
        <v>0.08</v>
      </c>
      <c r="E178" s="23">
        <v>1</v>
      </c>
      <c r="F178" s="23">
        <v>0.77500000000000002</v>
      </c>
      <c r="G178" s="23">
        <v>0.19</v>
      </c>
      <c r="H178" s="27">
        <v>0.45</v>
      </c>
      <c r="I178" s="24">
        <f t="shared" si="77"/>
        <v>0.84033613445378152</v>
      </c>
      <c r="J178" s="23">
        <f t="shared" si="77"/>
        <v>0.63265306122448972</v>
      </c>
      <c r="K178" s="25">
        <f>-LN(I178)</f>
        <v>0.17395330712343801</v>
      </c>
      <c r="L178" s="25">
        <f t="shared" si="78"/>
        <v>0.45783309362548047</v>
      </c>
      <c r="M178" s="26">
        <v>4.5914095704754354E-2</v>
      </c>
      <c r="N178" s="26" t="e">
        <v>#N/A</v>
      </c>
      <c r="O178" s="177"/>
      <c r="P178" s="180"/>
      <c r="Q178" s="174"/>
      <c r="R178" s="174"/>
      <c r="S178" s="55"/>
    </row>
    <row r="179" spans="1:19">
      <c r="A179" s="183"/>
      <c r="B179" s="22">
        <v>0.2</v>
      </c>
      <c r="C179" s="22">
        <v>0.2</v>
      </c>
      <c r="D179" s="22">
        <v>0.12</v>
      </c>
      <c r="E179" s="23">
        <v>1</v>
      </c>
      <c r="F179" s="23">
        <v>0.64</v>
      </c>
      <c r="G179" s="23">
        <v>0.28999999999999998</v>
      </c>
      <c r="H179" s="27">
        <v>0.64</v>
      </c>
      <c r="I179" s="24">
        <f t="shared" si="77"/>
        <v>0.77519379844961234</v>
      </c>
      <c r="J179" s="23">
        <f t="shared" si="77"/>
        <v>0.5</v>
      </c>
      <c r="K179" s="25">
        <f>-LN(I179)</f>
        <v>0.25464221837358081</v>
      </c>
      <c r="L179" s="25">
        <f t="shared" si="78"/>
        <v>0.69314718055994529</v>
      </c>
      <c r="M179" s="26">
        <v>0.99942654970939682</v>
      </c>
      <c r="N179" s="26">
        <v>1.494808292916134E-2</v>
      </c>
      <c r="O179" s="177"/>
      <c r="P179" s="180"/>
      <c r="Q179" s="174"/>
      <c r="R179" s="174"/>
      <c r="S179" s="55"/>
    </row>
    <row r="180" spans="1:19">
      <c r="A180" s="183"/>
      <c r="B180" s="45"/>
      <c r="C180" s="45"/>
      <c r="D180" s="45"/>
      <c r="E180" s="46"/>
      <c r="F180" s="46"/>
      <c r="G180" s="46"/>
      <c r="H180" s="46"/>
      <c r="I180" s="46"/>
      <c r="J180" s="46"/>
      <c r="K180" s="47"/>
      <c r="L180" s="47"/>
      <c r="M180" s="26">
        <v>3485.6606268628125</v>
      </c>
      <c r="N180" s="26">
        <v>2</v>
      </c>
      <c r="O180" s="177"/>
      <c r="P180" s="180"/>
      <c r="Q180" s="174"/>
      <c r="R180" s="174"/>
      <c r="S180" s="55"/>
    </row>
    <row r="181" spans="1:19">
      <c r="A181" s="184"/>
      <c r="B181" s="42"/>
      <c r="C181" s="42"/>
      <c r="D181" s="42"/>
      <c r="E181" s="43"/>
      <c r="F181" s="43"/>
      <c r="G181" s="43"/>
      <c r="H181" s="43"/>
      <c r="I181" s="43"/>
      <c r="J181" s="43"/>
      <c r="K181" s="44"/>
      <c r="L181" s="44"/>
      <c r="M181" s="26">
        <v>0.77885407754136571</v>
      </c>
      <c r="N181" s="26">
        <v>4.468903665141693E-4</v>
      </c>
      <c r="O181" s="178"/>
      <c r="P181" s="181"/>
      <c r="Q181" s="175"/>
      <c r="R181" s="175"/>
      <c r="S181" s="55"/>
    </row>
    <row r="182" spans="1:19" s="19" customFormat="1">
      <c r="A182" s="182" t="s">
        <v>768</v>
      </c>
      <c r="B182" s="30">
        <v>0.2</v>
      </c>
      <c r="C182" s="30">
        <v>0.2</v>
      </c>
      <c r="D182" s="18">
        <v>0.04</v>
      </c>
      <c r="E182" s="31">
        <v>1</v>
      </c>
      <c r="F182" s="31">
        <v>0.8</v>
      </c>
      <c r="G182" s="31">
        <v>0.11</v>
      </c>
      <c r="H182" s="32">
        <v>0.28000000000000003</v>
      </c>
      <c r="I182" s="32">
        <f t="shared" ref="I182:J184" si="79">E182/(E182+G182)</f>
        <v>0.9009009009009008</v>
      </c>
      <c r="J182" s="31">
        <f t="shared" si="79"/>
        <v>0.7407407407407407</v>
      </c>
      <c r="K182" s="33">
        <f>-LN(I182)</f>
        <v>0.10436001532424288</v>
      </c>
      <c r="L182" s="33">
        <f t="shared" ref="L182:L184" si="80">-LN(J182)</f>
        <v>0.30010459245033816</v>
      </c>
      <c r="M182" s="34" cm="1">
        <f t="array" ref="M182:N186">LINEST(L182:L184,K182:K184,FALSE,TRUE)</f>
        <v>2.5950683252688211</v>
      </c>
      <c r="N182" s="34">
        <v>0</v>
      </c>
      <c r="O182" s="176">
        <f t="shared" ref="O182" si="81">TINV(0.32,N185)*M183</f>
        <v>0.1616538673573347</v>
      </c>
      <c r="P182" s="179">
        <f>O182*100/M182</f>
        <v>6.2292721075306989</v>
      </c>
      <c r="Q182" s="173">
        <f>-1.99*273*LN(M182)/1000</f>
        <v>-0.51806925076742594</v>
      </c>
      <c r="R182" s="173">
        <f>ABS(1.99*273*O182/M182/1000)</f>
        <v>3.3841766578582025E-2</v>
      </c>
      <c r="S182" s="77"/>
    </row>
    <row r="183" spans="1:19">
      <c r="A183" s="183"/>
      <c r="B183" s="22">
        <v>0.2</v>
      </c>
      <c r="C183" s="22">
        <v>0.2</v>
      </c>
      <c r="D183" s="15">
        <v>0.08</v>
      </c>
      <c r="E183" s="23">
        <v>1</v>
      </c>
      <c r="F183" s="23">
        <v>0.76</v>
      </c>
      <c r="G183" s="23">
        <v>0.16</v>
      </c>
      <c r="H183" s="27">
        <v>0.38</v>
      </c>
      <c r="I183" s="24">
        <f t="shared" si="79"/>
        <v>0.86206896551724144</v>
      </c>
      <c r="J183" s="23">
        <f t="shared" si="79"/>
        <v>0.66666666666666663</v>
      </c>
      <c r="K183" s="25">
        <f>-LN(I183)</f>
        <v>0.14842000511827322</v>
      </c>
      <c r="L183" s="25">
        <f t="shared" si="80"/>
        <v>0.40546510810816444</v>
      </c>
      <c r="M183" s="26">
        <v>0.12325138791031821</v>
      </c>
      <c r="N183" s="26" t="e">
        <v>#N/A</v>
      </c>
      <c r="O183" s="177"/>
      <c r="P183" s="180"/>
      <c r="Q183" s="174"/>
      <c r="R183" s="174"/>
      <c r="S183" s="55"/>
    </row>
    <row r="184" spans="1:19">
      <c r="A184" s="183"/>
      <c r="B184" s="22">
        <v>0.2</v>
      </c>
      <c r="C184" s="22">
        <v>0.2</v>
      </c>
      <c r="D184" s="22">
        <v>0.12</v>
      </c>
      <c r="E184" s="23">
        <v>1</v>
      </c>
      <c r="F184" s="23">
        <v>0.72</v>
      </c>
      <c r="G184" s="23">
        <v>0.22</v>
      </c>
      <c r="H184" s="27">
        <v>0.45</v>
      </c>
      <c r="I184" s="24">
        <f t="shared" si="79"/>
        <v>0.81967213114754101</v>
      </c>
      <c r="J184" s="23">
        <f t="shared" si="79"/>
        <v>0.61538461538461542</v>
      </c>
      <c r="K184" s="25">
        <f>-LN(I184)</f>
        <v>0.19885085874516517</v>
      </c>
      <c r="L184" s="25">
        <f t="shared" si="80"/>
        <v>0.48550781578170077</v>
      </c>
      <c r="M184" s="26">
        <v>0.9955088128984747</v>
      </c>
      <c r="N184" s="26">
        <v>3.3177564622538923E-2</v>
      </c>
      <c r="O184" s="177"/>
      <c r="P184" s="180"/>
      <c r="Q184" s="174"/>
      <c r="R184" s="174"/>
      <c r="S184" s="55"/>
    </row>
    <row r="185" spans="1:19">
      <c r="A185" s="183"/>
      <c r="B185" s="45"/>
      <c r="C185" s="45"/>
      <c r="D185" s="45"/>
      <c r="E185" s="46"/>
      <c r="F185" s="46"/>
      <c r="G185" s="46"/>
      <c r="H185" s="46"/>
      <c r="I185" s="46"/>
      <c r="J185" s="46"/>
      <c r="K185" s="47"/>
      <c r="L185" s="47"/>
      <c r="M185" s="26">
        <v>443.31656214472412</v>
      </c>
      <c r="N185" s="26">
        <v>2</v>
      </c>
      <c r="O185" s="177"/>
      <c r="P185" s="180"/>
      <c r="Q185" s="174"/>
      <c r="R185" s="174"/>
      <c r="S185" s="55"/>
    </row>
    <row r="186" spans="1:19">
      <c r="A186" s="184"/>
      <c r="B186" s="42"/>
      <c r="C186" s="42"/>
      <c r="D186" s="42"/>
      <c r="E186" s="43"/>
      <c r="F186" s="43"/>
      <c r="G186" s="43"/>
      <c r="H186" s="43"/>
      <c r="I186" s="43"/>
      <c r="J186" s="43"/>
      <c r="K186" s="44"/>
      <c r="L186" s="44"/>
      <c r="M186" s="26">
        <v>0.48798105789950141</v>
      </c>
      <c r="N186" s="26">
        <v>2.2015015885654922E-3</v>
      </c>
      <c r="O186" s="178"/>
      <c r="P186" s="181"/>
      <c r="Q186" s="175"/>
      <c r="R186" s="175"/>
      <c r="S186" s="55"/>
    </row>
    <row r="187" spans="1:19">
      <c r="A187" s="161" t="s">
        <v>944</v>
      </c>
      <c r="B187" s="118">
        <v>0.2</v>
      </c>
      <c r="C187" s="118">
        <v>0.2</v>
      </c>
      <c r="D187" s="119">
        <v>0.04</v>
      </c>
      <c r="E187" s="120">
        <v>1</v>
      </c>
      <c r="F187" s="120">
        <f>2.6366/3</f>
        <v>0.87886666666666668</v>
      </c>
      <c r="G187" s="120">
        <v>9.9400000000000002E-2</v>
      </c>
      <c r="H187" s="121">
        <v>0.2586</v>
      </c>
      <c r="I187" s="121">
        <f t="shared" ref="I187:I190" si="82">E187/(E187+G187)</f>
        <v>0.90958704748044394</v>
      </c>
      <c r="J187" s="120">
        <f t="shared" ref="J187:J190" si="83">F187/(F187+H187)</f>
        <v>0.77265267846676833</v>
      </c>
      <c r="K187" s="122">
        <f t="shared" ref="K187:K190" si="84">-LN(I187)</f>
        <v>9.4764576444422863E-2</v>
      </c>
      <c r="L187" s="122">
        <f t="shared" ref="L187:L190" si="85">-LN(J187)</f>
        <v>0.25792564771067006</v>
      </c>
      <c r="M187" s="123" cm="1">
        <f t="array" ref="M187:N191">LINEST(L187:L190,K187:K190,FALSE,TRUE)</f>
        <v>2.5334641050998417</v>
      </c>
      <c r="N187" s="123">
        <v>0</v>
      </c>
      <c r="O187" s="164">
        <f>TINV(0.32,N190)*M188</f>
        <v>4.8628952421967138E-2</v>
      </c>
      <c r="P187" s="167">
        <f>O187*100/M187</f>
        <v>1.9194648277856976</v>
      </c>
      <c r="Q187" s="170">
        <f>-1.99*273*LN(M187)/1000</f>
        <v>-0.50501704335122299</v>
      </c>
      <c r="R187" s="170">
        <f>ABS(1.99*273*O187/M187/1000)</f>
        <v>1.0427876569911359E-2</v>
      </c>
      <c r="S187" s="124"/>
    </row>
    <row r="188" spans="1:19">
      <c r="A188" s="162"/>
      <c r="B188" s="125">
        <v>0.2</v>
      </c>
      <c r="C188" s="125">
        <v>0.2</v>
      </c>
      <c r="D188" s="126">
        <v>0.08</v>
      </c>
      <c r="E188" s="127">
        <v>1</v>
      </c>
      <c r="F188" s="127">
        <f>2.323/3</f>
        <v>0.77433333333333332</v>
      </c>
      <c r="G188" s="127">
        <v>0.1973</v>
      </c>
      <c r="H188" s="128">
        <v>0.45579999999999998</v>
      </c>
      <c r="I188" s="129">
        <f t="shared" si="82"/>
        <v>0.83521256159692636</v>
      </c>
      <c r="J188" s="127">
        <f t="shared" si="83"/>
        <v>0.62947106004769127</v>
      </c>
      <c r="K188" s="130">
        <f t="shared" si="84"/>
        <v>0.18006902174066092</v>
      </c>
      <c r="L188" s="130">
        <f t="shared" si="85"/>
        <v>0.46287539947320167</v>
      </c>
      <c r="M188" s="131">
        <v>4.0901489736223672E-2</v>
      </c>
      <c r="N188" s="131" t="e">
        <v>#N/A</v>
      </c>
      <c r="O188" s="165"/>
      <c r="P188" s="168"/>
      <c r="Q188" s="171"/>
      <c r="R188" s="171"/>
      <c r="S188" s="132"/>
    </row>
    <row r="189" spans="1:19">
      <c r="A189" s="162"/>
      <c r="B189" s="125">
        <v>0.2</v>
      </c>
      <c r="C189" s="125">
        <v>0.2</v>
      </c>
      <c r="D189" s="125">
        <v>0.12</v>
      </c>
      <c r="E189" s="127">
        <v>1</v>
      </c>
      <c r="F189" s="127">
        <f>2.1552/3</f>
        <v>0.71839999999999993</v>
      </c>
      <c r="G189" s="127">
        <v>0.28249999999999997</v>
      </c>
      <c r="H189" s="128">
        <v>0.59440000000000004</v>
      </c>
      <c r="I189" s="129">
        <f t="shared" si="82"/>
        <v>0.77972709551656927</v>
      </c>
      <c r="J189" s="127">
        <f t="shared" si="83"/>
        <v>0.54722730042656909</v>
      </c>
      <c r="K189" s="130">
        <f t="shared" si="84"/>
        <v>0.24881129806278746</v>
      </c>
      <c r="L189" s="130">
        <f t="shared" si="85"/>
        <v>0.60289102278789142</v>
      </c>
      <c r="M189" s="131">
        <v>0.99921867712440904</v>
      </c>
      <c r="N189" s="131">
        <v>2.0224909536221733E-2</v>
      </c>
      <c r="O189" s="165"/>
      <c r="P189" s="168"/>
      <c r="Q189" s="171"/>
      <c r="R189" s="171"/>
      <c r="S189" s="132"/>
    </row>
    <row r="190" spans="1:19">
      <c r="A190" s="162"/>
      <c r="B190" s="133"/>
      <c r="C190" s="133"/>
      <c r="D190" s="133"/>
      <c r="E190" s="134">
        <v>1</v>
      </c>
      <c r="F190" s="134">
        <f>1.7255/3</f>
        <v>0.57516666666666671</v>
      </c>
      <c r="G190" s="134">
        <v>0.45610000000000001</v>
      </c>
      <c r="H190" s="134">
        <v>0.93069999999999997</v>
      </c>
      <c r="I190" s="129">
        <f t="shared" si="82"/>
        <v>0.68676601881738897</v>
      </c>
      <c r="J190" s="127">
        <f t="shared" si="83"/>
        <v>0.38195059323534625</v>
      </c>
      <c r="K190" s="130">
        <f t="shared" si="84"/>
        <v>0.37576162873472169</v>
      </c>
      <c r="L190" s="130">
        <f t="shared" si="85"/>
        <v>0.96246401582056873</v>
      </c>
      <c r="M190" s="131">
        <v>3836.6418353054491</v>
      </c>
      <c r="N190" s="131">
        <v>3</v>
      </c>
      <c r="O190" s="165"/>
      <c r="P190" s="168"/>
      <c r="Q190" s="171"/>
      <c r="R190" s="171"/>
      <c r="S190" s="132"/>
    </row>
    <row r="191" spans="1:19">
      <c r="A191" s="163"/>
      <c r="B191" s="133"/>
      <c r="C191" s="133"/>
      <c r="D191" s="133"/>
      <c r="E191" s="134"/>
      <c r="F191" s="134"/>
      <c r="G191" s="134"/>
      <c r="H191" s="134"/>
      <c r="I191" s="134"/>
      <c r="J191" s="134"/>
      <c r="K191" s="135"/>
      <c r="L191" s="135"/>
      <c r="M191" s="131">
        <v>1.5693667013948853</v>
      </c>
      <c r="N191" s="131">
        <v>1.2271408972450582E-3</v>
      </c>
      <c r="O191" s="166"/>
      <c r="P191" s="169"/>
      <c r="Q191" s="172"/>
      <c r="R191" s="172"/>
      <c r="S191" s="136"/>
    </row>
    <row r="192" spans="1:19" s="19" customFormat="1" ht="14">
      <c r="A192" s="182" t="s">
        <v>769</v>
      </c>
      <c r="B192" s="30">
        <v>0.2</v>
      </c>
      <c r="C192" s="30">
        <v>0.2</v>
      </c>
      <c r="D192" s="18">
        <v>0.04</v>
      </c>
      <c r="E192" s="31">
        <v>1.1339999999999999</v>
      </c>
      <c r="F192" s="31">
        <v>1</v>
      </c>
      <c r="G192" s="31">
        <v>8.5999999999999993E-2</v>
      </c>
      <c r="H192" s="32">
        <v>0.22</v>
      </c>
      <c r="I192" s="32">
        <f t="shared" ref="I192:J199" si="86">E192/(E192+G192)</f>
        <v>0.92950819672131146</v>
      </c>
      <c r="J192" s="31">
        <f t="shared" si="86"/>
        <v>0.81967213114754101</v>
      </c>
      <c r="K192" s="33">
        <f t="shared" ref="K192:L199" si="87">-LN(I192)</f>
        <v>7.3099653439604881E-2</v>
      </c>
      <c r="L192" s="33">
        <f t="shared" si="87"/>
        <v>0.19885085874516517</v>
      </c>
      <c r="M192" s="34" cm="1">
        <f t="array" ref="M192:N196">LINEST(L192:L193,K192:K193,FALSE,TRUE)</f>
        <v>2.4243567222943176</v>
      </c>
      <c r="N192" s="34">
        <v>0</v>
      </c>
      <c r="O192" s="176">
        <f t="shared" ref="O192" si="88">TINV(0.32,N195)*M193</f>
        <v>0.34531838584859742</v>
      </c>
      <c r="P192" s="179">
        <f>O192*100/M192</f>
        <v>14.243711854491504</v>
      </c>
      <c r="Q192" s="173">
        <f>-1.99*273*LN(M192)/1000</f>
        <v>-0.48110156036242269</v>
      </c>
      <c r="R192" s="173">
        <f>ABS(1.99*273*O192/M192/1000)</f>
        <v>7.7381813391895996E-2</v>
      </c>
      <c r="S192" s="73"/>
    </row>
    <row r="193" spans="1:19">
      <c r="A193" s="183"/>
      <c r="B193" s="22">
        <v>0.2</v>
      </c>
      <c r="C193" s="22">
        <v>0.2</v>
      </c>
      <c r="D193" s="15">
        <v>0.08</v>
      </c>
      <c r="E193" s="23">
        <v>1.1599999999999999</v>
      </c>
      <c r="F193" s="23">
        <v>1</v>
      </c>
      <c r="G193" s="23">
        <v>0.14000000000000001</v>
      </c>
      <c r="H193" s="27">
        <v>0.3</v>
      </c>
      <c r="I193" s="24">
        <f t="shared" si="86"/>
        <v>0.89230769230769236</v>
      </c>
      <c r="J193" s="23">
        <f t="shared" si="86"/>
        <v>0.76923076923076916</v>
      </c>
      <c r="K193" s="25">
        <f t="shared" si="87"/>
        <v>0.11394425934921772</v>
      </c>
      <c r="L193" s="25">
        <f t="shared" si="87"/>
        <v>0.26236426446749112</v>
      </c>
      <c r="M193" s="26">
        <v>0.18984038910796447</v>
      </c>
      <c r="N193" s="26" t="e">
        <v>#N/A</v>
      </c>
      <c r="O193" s="177"/>
      <c r="P193" s="180"/>
      <c r="Q193" s="174"/>
      <c r="R193" s="174"/>
      <c r="S193" s="55"/>
    </row>
    <row r="194" spans="1:19">
      <c r="A194" s="183"/>
      <c r="B194" s="22">
        <v>0.2</v>
      </c>
      <c r="C194" s="22">
        <v>0.2</v>
      </c>
      <c r="D194" s="22">
        <v>0.12</v>
      </c>
      <c r="E194" s="23">
        <v>1.35</v>
      </c>
      <c r="F194" s="23">
        <v>1</v>
      </c>
      <c r="G194" s="23">
        <v>0.27</v>
      </c>
      <c r="H194" s="27">
        <v>0.62</v>
      </c>
      <c r="I194" s="24">
        <f t="shared" si="86"/>
        <v>0.83333333333333337</v>
      </c>
      <c r="J194" s="23">
        <f t="shared" si="86"/>
        <v>0.61728395061728392</v>
      </c>
      <c r="K194" s="25">
        <f t="shared" si="87"/>
        <v>0.18232155679395459</v>
      </c>
      <c r="L194" s="25">
        <f t="shared" si="87"/>
        <v>0.48242614924429278</v>
      </c>
      <c r="M194" s="26">
        <v>0.99390562276850902</v>
      </c>
      <c r="N194" s="26">
        <v>2.5699967275356839E-2</v>
      </c>
      <c r="O194" s="177"/>
      <c r="P194" s="180"/>
      <c r="Q194" s="174"/>
      <c r="R194" s="174"/>
      <c r="S194" s="55"/>
    </row>
    <row r="195" spans="1:19">
      <c r="A195" s="183"/>
      <c r="B195" s="22">
        <v>0.2</v>
      </c>
      <c r="C195" s="22">
        <v>0.2</v>
      </c>
      <c r="D195" s="22">
        <v>0.16</v>
      </c>
      <c r="E195" s="23">
        <v>1.25</v>
      </c>
      <c r="F195" s="23">
        <v>1</v>
      </c>
      <c r="G195" s="23">
        <v>0.22</v>
      </c>
      <c r="H195" s="27">
        <v>0.47</v>
      </c>
      <c r="I195" s="24">
        <f t="shared" si="86"/>
        <v>0.85034013605442182</v>
      </c>
      <c r="J195" s="23">
        <f t="shared" si="86"/>
        <v>0.68027210884353739</v>
      </c>
      <c r="K195" s="25">
        <f t="shared" si="87"/>
        <v>0.16211884947643512</v>
      </c>
      <c r="L195" s="25">
        <f t="shared" si="87"/>
        <v>0.38526240079064494</v>
      </c>
      <c r="M195" s="26">
        <v>163.08567471550273</v>
      </c>
      <c r="N195" s="26">
        <v>1</v>
      </c>
      <c r="O195" s="177"/>
      <c r="P195" s="180"/>
      <c r="Q195" s="174"/>
      <c r="R195" s="174"/>
      <c r="S195" s="55"/>
    </row>
    <row r="196" spans="1:19">
      <c r="A196" s="184"/>
      <c r="B196" s="22">
        <v>0.2</v>
      </c>
      <c r="C196" s="22">
        <v>0.2</v>
      </c>
      <c r="D196" s="22">
        <v>0.2</v>
      </c>
      <c r="E196" s="23">
        <v>1.77</v>
      </c>
      <c r="F196" s="23">
        <v>1</v>
      </c>
      <c r="G196" s="23">
        <v>0.86</v>
      </c>
      <c r="H196" s="27">
        <v>1.63</v>
      </c>
      <c r="I196" s="24">
        <f t="shared" si="86"/>
        <v>0.6730038022813688</v>
      </c>
      <c r="J196" s="23">
        <f t="shared" si="86"/>
        <v>0.38022813688212931</v>
      </c>
      <c r="K196" s="25">
        <f t="shared" si="87"/>
        <v>0.39600429960393546</v>
      </c>
      <c r="L196" s="25">
        <f t="shared" si="87"/>
        <v>0.96698384618967315</v>
      </c>
      <c r="M196" s="26">
        <v>0.10771618297530285</v>
      </c>
      <c r="N196" s="26">
        <v>6.6048831795441246E-4</v>
      </c>
      <c r="O196" s="178"/>
      <c r="P196" s="181"/>
      <c r="Q196" s="175"/>
      <c r="R196" s="175"/>
      <c r="S196" s="55"/>
    </row>
    <row r="197" spans="1:19" s="19" customFormat="1">
      <c r="A197" s="182" t="s">
        <v>770</v>
      </c>
      <c r="B197" s="30">
        <v>0.2</v>
      </c>
      <c r="C197" s="30">
        <v>0.2</v>
      </c>
      <c r="D197" s="18">
        <v>0.04</v>
      </c>
      <c r="E197" s="31">
        <v>1</v>
      </c>
      <c r="F197" s="31">
        <v>0.67700000000000005</v>
      </c>
      <c r="G197" s="31">
        <v>5.0999999999999997E-2</v>
      </c>
      <c r="H197" s="32">
        <v>9.8000000000000004E-2</v>
      </c>
      <c r="I197" s="32">
        <f t="shared" si="86"/>
        <v>0.95147478591817325</v>
      </c>
      <c r="J197" s="31">
        <f t="shared" si="86"/>
        <v>0.87354838709677418</v>
      </c>
      <c r="K197" s="33">
        <f>-LN(I197)</f>
        <v>4.9742091894813989E-2</v>
      </c>
      <c r="L197" s="33">
        <f t="shared" si="87"/>
        <v>0.13519175644107201</v>
      </c>
      <c r="M197" s="34" cm="1">
        <f t="array" ref="M197:N201">LINEST(L197:L199,K197:K199,FALSE,TRUE)</f>
        <v>2.4071059621077229</v>
      </c>
      <c r="N197" s="34">
        <v>0</v>
      </c>
      <c r="O197" s="176">
        <f t="shared" ref="O197" si="89">TINV(0.32,N200)*M198</f>
        <v>0.17235047085657271</v>
      </c>
      <c r="P197" s="179">
        <f>O197*100/M197</f>
        <v>7.1600699582688199</v>
      </c>
      <c r="Q197" s="173">
        <f>-1.99*273*LN(M197)/1000</f>
        <v>-0.47722204770771659</v>
      </c>
      <c r="R197" s="173">
        <f>ABS(1.99*273*O197/M197/1000)</f>
        <v>3.8898512062287019E-2</v>
      </c>
      <c r="S197" s="77"/>
    </row>
    <row r="198" spans="1:19">
      <c r="A198" s="183"/>
      <c r="B198" s="22">
        <v>0.2</v>
      </c>
      <c r="C198" s="22">
        <v>0.2</v>
      </c>
      <c r="D198" s="15">
        <v>0.08</v>
      </c>
      <c r="E198" s="23">
        <v>1</v>
      </c>
      <c r="F198" s="23">
        <v>0.57399999999999995</v>
      </c>
      <c r="G198" s="23">
        <v>0.125</v>
      </c>
      <c r="H198" s="27">
        <v>0.216</v>
      </c>
      <c r="I198" s="24">
        <f t="shared" si="86"/>
        <v>0.88888888888888884</v>
      </c>
      <c r="J198" s="23">
        <f t="shared" si="86"/>
        <v>0.72658227848101264</v>
      </c>
      <c r="K198" s="25">
        <f>-LN(I198)</f>
        <v>0.11778303565638351</v>
      </c>
      <c r="L198" s="25">
        <f t="shared" si="87"/>
        <v>0.31940354914150076</v>
      </c>
      <c r="M198" s="26">
        <v>0.13140690716117043</v>
      </c>
      <c r="N198" s="26" t="e">
        <v>#N/A</v>
      </c>
      <c r="O198" s="177"/>
      <c r="P198" s="180"/>
      <c r="Q198" s="174"/>
      <c r="R198" s="174"/>
      <c r="S198" s="55"/>
    </row>
    <row r="199" spans="1:19">
      <c r="A199" s="183"/>
      <c r="B199" s="22">
        <v>0.2</v>
      </c>
      <c r="C199" s="22">
        <v>0.2</v>
      </c>
      <c r="D199" s="22">
        <v>0.12</v>
      </c>
      <c r="E199" s="23">
        <v>1</v>
      </c>
      <c r="F199" s="23">
        <v>0.56299999999999994</v>
      </c>
      <c r="G199" s="23">
        <v>0.23400000000000001</v>
      </c>
      <c r="H199" s="27">
        <v>0.34899999999999998</v>
      </c>
      <c r="I199" s="24">
        <f t="shared" si="86"/>
        <v>0.81037277147487841</v>
      </c>
      <c r="J199" s="23">
        <f t="shared" si="86"/>
        <v>0.61732456140350878</v>
      </c>
      <c r="K199" s="25">
        <f>-LN(I199)</f>
        <v>0.21026092548319611</v>
      </c>
      <c r="L199" s="25">
        <f t="shared" si="87"/>
        <v>0.48236036193464099</v>
      </c>
      <c r="M199" s="26">
        <v>0.994074908278058</v>
      </c>
      <c r="N199" s="26">
        <v>3.2336988070307951E-2</v>
      </c>
      <c r="O199" s="177"/>
      <c r="P199" s="180"/>
      <c r="Q199" s="174"/>
      <c r="R199" s="174"/>
      <c r="S199" s="55"/>
    </row>
    <row r="200" spans="1:19">
      <c r="A200" s="183"/>
      <c r="B200" s="45"/>
      <c r="C200" s="45"/>
      <c r="D200" s="45"/>
      <c r="E200" s="46"/>
      <c r="F200" s="46"/>
      <c r="G200" s="46"/>
      <c r="H200" s="46"/>
      <c r="I200" s="46"/>
      <c r="J200" s="46"/>
      <c r="K200" s="47"/>
      <c r="L200" s="47"/>
      <c r="M200" s="26">
        <v>335.54751721285766</v>
      </c>
      <c r="N200" s="26">
        <v>2</v>
      </c>
      <c r="O200" s="177"/>
      <c r="P200" s="180"/>
      <c r="Q200" s="174"/>
      <c r="R200" s="174"/>
      <c r="S200" s="55"/>
    </row>
    <row r="201" spans="1:19">
      <c r="A201" s="184"/>
      <c r="B201" s="45"/>
      <c r="C201" s="45"/>
      <c r="D201" s="45"/>
      <c r="E201" s="46"/>
      <c r="F201" s="46"/>
      <c r="G201" s="46"/>
      <c r="H201" s="46"/>
      <c r="I201" s="46"/>
      <c r="J201" s="46"/>
      <c r="K201" s="47"/>
      <c r="L201" s="47"/>
      <c r="M201" s="26">
        <v>0.35087559538460861</v>
      </c>
      <c r="N201" s="26">
        <v>2.0913615949184772E-3</v>
      </c>
      <c r="O201" s="178"/>
      <c r="P201" s="180"/>
      <c r="Q201" s="174"/>
      <c r="R201" s="174"/>
      <c r="S201" s="55"/>
    </row>
    <row r="202" spans="1:19" s="19" customFormat="1">
      <c r="A202" s="161" t="s">
        <v>871</v>
      </c>
      <c r="B202" s="118">
        <v>0.2</v>
      </c>
      <c r="C202" s="118">
        <v>0.2</v>
      </c>
      <c r="D202" s="119">
        <v>0.04</v>
      </c>
      <c r="E202" s="120">
        <v>1</v>
      </c>
      <c r="F202" s="120">
        <v>0.43120000000000003</v>
      </c>
      <c r="G202" s="120">
        <v>0.1515</v>
      </c>
      <c r="H202" s="121">
        <f>0.009+0.1561</f>
        <v>0.1651</v>
      </c>
      <c r="I202" s="121">
        <f t="shared" ref="I202:I204" si="90">E202/(E202+G202)</f>
        <v>0.86843247937472867</v>
      </c>
      <c r="J202" s="120">
        <f t="shared" ref="J202:J204" si="91">F202/(F202+H202)</f>
        <v>0.72312594331712221</v>
      </c>
      <c r="K202" s="122">
        <f t="shared" ref="K202:K204" si="92">-LN(I202)</f>
        <v>0.14106544027860277</v>
      </c>
      <c r="L202" s="122">
        <f t="shared" ref="L202:L204" si="93">-LN(J202)</f>
        <v>0.32417187653427287</v>
      </c>
      <c r="M202" s="123" cm="1">
        <f t="array" ref="M202:N206">LINEST(L202:L204,K202:K204,FALSE,TRUE)</f>
        <v>2.1322058722673867</v>
      </c>
      <c r="N202" s="123">
        <v>0</v>
      </c>
      <c r="O202" s="164">
        <f>TINV(0.32,N205)*M203</f>
        <v>2.6459477199734991E-2</v>
      </c>
      <c r="P202" s="167">
        <f>O202*100/M202</f>
        <v>1.2409438292934629</v>
      </c>
      <c r="Q202" s="170">
        <f>-1.99*273*LN(M202)/1000</f>
        <v>-0.41134071849550552</v>
      </c>
      <c r="R202" s="170">
        <f>ABS(1.99*273*O202/M202/1000)</f>
        <v>6.7416755414025963E-3</v>
      </c>
      <c r="S202" s="124"/>
    </row>
    <row r="203" spans="1:19">
      <c r="A203" s="162" t="s">
        <v>821</v>
      </c>
      <c r="B203" s="125">
        <v>0.2</v>
      </c>
      <c r="C203" s="125">
        <v>0.2</v>
      </c>
      <c r="D203" s="126">
        <v>0.08</v>
      </c>
      <c r="E203" s="127">
        <v>1</v>
      </c>
      <c r="F203" s="127">
        <v>0.3382</v>
      </c>
      <c r="G203" s="127">
        <v>0.49980000000000002</v>
      </c>
      <c r="H203" s="128">
        <f>0.0182+0.436</f>
        <v>0.45419999999999999</v>
      </c>
      <c r="I203" s="129">
        <f t="shared" si="90"/>
        <v>0.66675556740898789</v>
      </c>
      <c r="J203" s="127">
        <f t="shared" si="91"/>
        <v>0.42680464411913177</v>
      </c>
      <c r="K203" s="130">
        <f t="shared" si="92"/>
        <v>0.40533176588515191</v>
      </c>
      <c r="L203" s="130">
        <f t="shared" si="93"/>
        <v>0.85142887835991587</v>
      </c>
      <c r="M203" s="131">
        <v>2.0173765970225577E-2</v>
      </c>
      <c r="N203" s="131" t="e">
        <v>#N/A</v>
      </c>
      <c r="O203" s="165"/>
      <c r="P203" s="168"/>
      <c r="Q203" s="171"/>
      <c r="R203" s="171"/>
      <c r="S203" s="132"/>
    </row>
    <row r="204" spans="1:19">
      <c r="A204" s="162" t="s">
        <v>822</v>
      </c>
      <c r="B204" s="125">
        <v>0.2</v>
      </c>
      <c r="C204" s="125">
        <v>0.2</v>
      </c>
      <c r="D204" s="125">
        <v>0.12</v>
      </c>
      <c r="E204" s="127">
        <v>1</v>
      </c>
      <c r="F204" s="127">
        <v>0.2361</v>
      </c>
      <c r="G204" s="127">
        <v>1.3036000000000001</v>
      </c>
      <c r="H204" s="128">
        <f>0.0444+1.1217</f>
        <v>1.1660999999999999</v>
      </c>
      <c r="I204" s="129">
        <f t="shared" si="90"/>
        <v>0.43410314290675461</v>
      </c>
      <c r="J204" s="127">
        <f t="shared" si="91"/>
        <v>0.16837826272999573</v>
      </c>
      <c r="K204" s="130">
        <f t="shared" si="92"/>
        <v>0.83447311665038038</v>
      </c>
      <c r="L204" s="130">
        <f t="shared" si="93"/>
        <v>1.7815422666814</v>
      </c>
      <c r="M204" s="131">
        <v>0.99982099385745271</v>
      </c>
      <c r="N204" s="131">
        <v>1.8930461335390437E-2</v>
      </c>
      <c r="O204" s="165"/>
      <c r="P204" s="168"/>
      <c r="Q204" s="171"/>
      <c r="R204" s="171"/>
      <c r="S204" s="132"/>
    </row>
    <row r="205" spans="1:19">
      <c r="A205" s="162"/>
      <c r="B205" s="133"/>
      <c r="C205" s="133"/>
      <c r="D205" s="133"/>
      <c r="E205" s="134"/>
      <c r="F205" s="134"/>
      <c r="G205" s="134"/>
      <c r="H205" s="134"/>
      <c r="I205" s="134"/>
      <c r="J205" s="134"/>
      <c r="K205" s="135"/>
      <c r="L205" s="135"/>
      <c r="M205" s="131">
        <v>11170.800952741176</v>
      </c>
      <c r="N205" s="131">
        <v>2</v>
      </c>
      <c r="O205" s="165"/>
      <c r="P205" s="168"/>
      <c r="Q205" s="171"/>
      <c r="R205" s="171"/>
      <c r="S205" s="132"/>
    </row>
    <row r="206" spans="1:19">
      <c r="A206" s="163"/>
      <c r="B206" s="133"/>
      <c r="C206" s="133"/>
      <c r="D206" s="133"/>
      <c r="E206" s="134"/>
      <c r="F206" s="134"/>
      <c r="G206" s="134"/>
      <c r="H206" s="134"/>
      <c r="I206" s="134"/>
      <c r="J206" s="134"/>
      <c r="K206" s="135"/>
      <c r="L206" s="135"/>
      <c r="M206" s="131">
        <v>4.003194663680536</v>
      </c>
      <c r="N206" s="131">
        <v>7.1672473274142468E-4</v>
      </c>
      <c r="O206" s="166"/>
      <c r="P206" s="169"/>
      <c r="Q206" s="172"/>
      <c r="R206" s="172"/>
      <c r="S206" s="136"/>
    </row>
    <row r="207" spans="1:19" s="38" customFormat="1">
      <c r="A207" s="150" t="s">
        <v>884</v>
      </c>
      <c r="B207" s="151"/>
      <c r="C207" s="151"/>
      <c r="D207" s="151"/>
      <c r="E207" s="152"/>
      <c r="F207" s="152"/>
      <c r="G207" s="152"/>
      <c r="H207" s="152"/>
      <c r="I207" s="152"/>
      <c r="J207" s="152"/>
      <c r="K207" s="153"/>
      <c r="L207" s="153"/>
      <c r="M207" s="154">
        <f>M202*2*0.0444/(0.0444+1.1217)</f>
        <v>0.16237019248550208</v>
      </c>
      <c r="N207" s="153"/>
      <c r="O207" s="155">
        <f>O202*2*0.25/(0.24+0.25)</f>
        <v>2.6999466530341829E-2</v>
      </c>
      <c r="P207" s="156">
        <f>O202*100/M202</f>
        <v>1.2409438292934629</v>
      </c>
      <c r="Q207" s="157">
        <f>-1.99*273*LN(M207)/1000</f>
        <v>0.98759771829794918</v>
      </c>
      <c r="R207" s="157">
        <f>ABS(1.99*273*O207/M207/1000)</f>
        <v>9.0336778921097233E-2</v>
      </c>
      <c r="S207" s="158"/>
    </row>
    <row r="208" spans="1:19">
      <c r="A208" s="147" t="s">
        <v>885</v>
      </c>
      <c r="B208" s="133"/>
      <c r="C208" s="133"/>
      <c r="D208" s="133"/>
      <c r="E208" s="134"/>
      <c r="F208" s="134"/>
      <c r="G208" s="134"/>
      <c r="H208" s="134"/>
      <c r="I208" s="134"/>
      <c r="J208" s="134"/>
      <c r="K208" s="135"/>
      <c r="L208" s="135"/>
      <c r="M208" s="131">
        <f>M202*2*1.1217/(0.0444+1.1217)</f>
        <v>4.102041552049271</v>
      </c>
      <c r="N208" s="135"/>
      <c r="O208" s="148">
        <f>O202*2*0.24/(0.24+0.25)</f>
        <v>2.5919487869128153E-2</v>
      </c>
      <c r="P208" s="149">
        <f>O202*100/M202</f>
        <v>1.2409438292934629</v>
      </c>
      <c r="Q208" s="126">
        <f>-1.99*273*LN(M208)/1000</f>
        <v>-0.76681734148503622</v>
      </c>
      <c r="R208" s="126">
        <f>ABS(1.99*273*O208/M208/1000)</f>
        <v>3.4327492776436205E-3</v>
      </c>
      <c r="S208" s="132"/>
    </row>
    <row r="209" spans="1:19" s="19" customFormat="1">
      <c r="A209" s="182" t="s">
        <v>771</v>
      </c>
      <c r="B209" s="30">
        <v>0.2</v>
      </c>
      <c r="C209" s="30">
        <v>0.2</v>
      </c>
      <c r="D209" s="18">
        <v>0.04</v>
      </c>
      <c r="E209" s="31">
        <v>1</v>
      </c>
      <c r="F209" s="31">
        <v>0.68799999999999994</v>
      </c>
      <c r="G209" s="31">
        <v>9.4E-2</v>
      </c>
      <c r="H209" s="32">
        <v>0.14599999999999999</v>
      </c>
      <c r="I209" s="32">
        <f t="shared" ref="I209:I211" si="94">E209/(E209+G209)</f>
        <v>0.91407678244972568</v>
      </c>
      <c r="J209" s="31">
        <f t="shared" ref="J209:J211" si="95">F209/(F209+H209)</f>
        <v>0.82494004796163067</v>
      </c>
      <c r="K209" s="33">
        <f>-LN(I209)</f>
        <v>8.9840703999789578E-2</v>
      </c>
      <c r="L209" s="33">
        <f t="shared" ref="L209:L211" si="96">-LN(J209)</f>
        <v>0.19244456442540311</v>
      </c>
      <c r="M209" s="34" cm="1">
        <f t="array" ref="M209:N213">LINEST(L209:L211,K209:K211,FALSE,TRUE)</f>
        <v>1.9452720455165176</v>
      </c>
      <c r="N209" s="34">
        <v>0</v>
      </c>
      <c r="O209" s="176">
        <f>TINV(0.32,N212)*M210</f>
        <v>9.9433200734099197E-2</v>
      </c>
      <c r="P209" s="179">
        <f>O209*100/M209</f>
        <v>5.1115318787042581</v>
      </c>
      <c r="Q209" s="173">
        <f>-1.99*273*LN(M209)/1000</f>
        <v>-0.36149285568807954</v>
      </c>
      <c r="R209" s="173">
        <f>ABS(1.99*273*O209/M209/1000)</f>
        <v>2.7769419237436619E-2</v>
      </c>
      <c r="S209" s="77"/>
    </row>
    <row r="210" spans="1:19">
      <c r="A210" s="183" t="s">
        <v>772</v>
      </c>
      <c r="B210" s="22">
        <v>0.2</v>
      </c>
      <c r="C210" s="22">
        <v>0.2</v>
      </c>
      <c r="D210" s="15">
        <v>0.08</v>
      </c>
      <c r="E210" s="23">
        <v>1</v>
      </c>
      <c r="F210" s="23">
        <v>0.61499999999999999</v>
      </c>
      <c r="G210" s="23">
        <v>0.17799999999999999</v>
      </c>
      <c r="H210" s="27">
        <v>0.247</v>
      </c>
      <c r="I210" s="24">
        <f t="shared" si="94"/>
        <v>0.84889643463497455</v>
      </c>
      <c r="J210" s="23">
        <f t="shared" si="95"/>
        <v>0.71345707656612534</v>
      </c>
      <c r="K210" s="25">
        <f>-LN(I210)</f>
        <v>0.16381808522939495</v>
      </c>
      <c r="L210" s="25">
        <f t="shared" si="96"/>
        <v>0.33763300285717518</v>
      </c>
      <c r="M210" s="26">
        <v>7.5811857737698232E-2</v>
      </c>
      <c r="N210" s="26" t="e">
        <v>#N/A</v>
      </c>
      <c r="O210" s="177"/>
      <c r="P210" s="180"/>
      <c r="Q210" s="174"/>
      <c r="R210" s="174"/>
      <c r="S210" s="55"/>
    </row>
    <row r="211" spans="1:19">
      <c r="A211" s="183" t="s">
        <v>773</v>
      </c>
      <c r="B211" s="22">
        <v>0.2</v>
      </c>
      <c r="C211" s="22">
        <v>0.2</v>
      </c>
      <c r="D211" s="22">
        <v>0.12</v>
      </c>
      <c r="E211" s="23">
        <v>1</v>
      </c>
      <c r="F211" s="23">
        <v>0.61499999999999999</v>
      </c>
      <c r="G211" s="23">
        <v>0.27</v>
      </c>
      <c r="H211" s="27">
        <v>0.34499999999999997</v>
      </c>
      <c r="I211" s="24">
        <f t="shared" si="94"/>
        <v>0.78740157480314954</v>
      </c>
      <c r="J211" s="23">
        <f t="shared" si="95"/>
        <v>0.640625</v>
      </c>
      <c r="K211" s="25">
        <f>-LN(I211)</f>
        <v>0.23901690047049998</v>
      </c>
      <c r="L211" s="25">
        <f t="shared" si="96"/>
        <v>0.44531101665536404</v>
      </c>
      <c r="M211" s="26">
        <v>0.99697150870788342</v>
      </c>
      <c r="N211" s="26">
        <v>2.2999472973434649E-2</v>
      </c>
      <c r="O211" s="177"/>
      <c r="P211" s="180"/>
      <c r="Q211" s="174"/>
      <c r="R211" s="174"/>
      <c r="S211" s="55"/>
    </row>
    <row r="212" spans="1:19">
      <c r="A212" s="183"/>
      <c r="B212" s="45"/>
      <c r="C212" s="45"/>
      <c r="D212" s="45"/>
      <c r="E212" s="46"/>
      <c r="F212" s="46"/>
      <c r="G212" s="46"/>
      <c r="H212" s="46"/>
      <c r="I212" s="46"/>
      <c r="J212" s="46"/>
      <c r="K212" s="47"/>
      <c r="L212" s="47"/>
      <c r="M212" s="26">
        <v>658.39483263701402</v>
      </c>
      <c r="N212" s="26">
        <v>2</v>
      </c>
      <c r="O212" s="177"/>
      <c r="P212" s="180"/>
      <c r="Q212" s="174"/>
      <c r="R212" s="174"/>
      <c r="S212" s="55"/>
    </row>
    <row r="213" spans="1:19">
      <c r="A213" s="184"/>
      <c r="B213" s="45"/>
      <c r="C213" s="45"/>
      <c r="D213" s="45"/>
      <c r="E213" s="46"/>
      <c r="F213" s="46"/>
      <c r="G213" s="46"/>
      <c r="H213" s="46"/>
      <c r="I213" s="46"/>
      <c r="J213" s="46"/>
      <c r="K213" s="47"/>
      <c r="L213" s="47"/>
      <c r="M213" s="26">
        <v>0.34827490503575886</v>
      </c>
      <c r="N213" s="26">
        <v>1.0579515141115018E-3</v>
      </c>
      <c r="O213" s="178"/>
      <c r="P213" s="181"/>
      <c r="Q213" s="175"/>
      <c r="R213" s="175"/>
      <c r="S213" s="55"/>
    </row>
    <row r="214" spans="1:19">
      <c r="A214" s="91" t="s">
        <v>771</v>
      </c>
      <c r="M214" s="26">
        <f>M209*2</f>
        <v>3.8905440910330351</v>
      </c>
      <c r="N214" s="26"/>
      <c r="O214" s="39">
        <f>O209*2</f>
        <v>0.19886640146819839</v>
      </c>
      <c r="P214" s="40">
        <f>O214*100/M214</f>
        <v>5.1115318787042581</v>
      </c>
      <c r="Q214" s="41">
        <f>-1.99*273*LN(M214)/1000</f>
        <v>-0.73805892447088095</v>
      </c>
      <c r="R214" s="41">
        <f>ABS(1.99*273*O214/M214/1000)</f>
        <v>2.7769419237436619E-2</v>
      </c>
      <c r="S214" s="55"/>
    </row>
    <row r="215" spans="1:19">
      <c r="A215" s="91" t="s">
        <v>774</v>
      </c>
      <c r="M215" s="26">
        <f>M209*0.32*2</f>
        <v>1.2449741091305713</v>
      </c>
      <c r="N215" s="26"/>
      <c r="O215" s="13">
        <f>O209*2*0.32</f>
        <v>6.3637248469823493E-2</v>
      </c>
      <c r="P215" s="14">
        <f>O215*100/M215</f>
        <v>5.1115318787042581</v>
      </c>
      <c r="Q215" s="15">
        <f>-1.99*273*LN(M215)/1000</f>
        <v>-0.11903846144313808</v>
      </c>
      <c r="R215" s="15">
        <f>ABS(1.99*273*O215/M215/1000)</f>
        <v>2.7769419237436622E-2</v>
      </c>
      <c r="S215" s="55"/>
    </row>
    <row r="216" spans="1:19" s="19" customFormat="1">
      <c r="A216" s="182" t="s">
        <v>775</v>
      </c>
      <c r="B216" s="30">
        <v>0.2</v>
      </c>
      <c r="C216" s="30">
        <v>0.2</v>
      </c>
      <c r="D216" s="18">
        <v>0.04</v>
      </c>
      <c r="E216" s="31">
        <v>1</v>
      </c>
      <c r="F216" s="31">
        <v>0.91500000000000004</v>
      </c>
      <c r="G216" s="31">
        <v>0.15</v>
      </c>
      <c r="H216" s="32">
        <v>0.24</v>
      </c>
      <c r="I216" s="32">
        <f t="shared" ref="I216:J218" si="97">E216/(E216+G216)</f>
        <v>0.86956521739130443</v>
      </c>
      <c r="J216" s="31">
        <f t="shared" si="97"/>
        <v>0.79220779220779225</v>
      </c>
      <c r="K216" s="33">
        <f>-LN(I216)</f>
        <v>0.1397619423751586</v>
      </c>
      <c r="L216" s="33">
        <f t="shared" ref="L216:L218" si="98">-LN(J216)</f>
        <v>0.23293155768037255</v>
      </c>
      <c r="M216" s="34" cm="1">
        <f t="array" ref="M216:N220">LINEST(L216:L218,K216:K218,FALSE,TRUE)</f>
        <v>1.6741118939869357</v>
      </c>
      <c r="N216" s="34">
        <v>0</v>
      </c>
      <c r="O216" s="176">
        <f t="shared" ref="O216" si="99">TINV(0.32,N219)*M217</f>
        <v>5.0843825313838589E-2</v>
      </c>
      <c r="P216" s="179">
        <f>O216*100/M216</f>
        <v>3.0370625462048935</v>
      </c>
      <c r="Q216" s="173">
        <f>-1.99*273*LN(M216)/1000</f>
        <v>-0.27993769334018254</v>
      </c>
      <c r="R216" s="173">
        <f>ABS(1.99*273*O216/M216/1000)</f>
        <v>1.6499449694767323E-2</v>
      </c>
      <c r="S216" s="77"/>
    </row>
    <row r="217" spans="1:19">
      <c r="A217" s="183"/>
      <c r="B217" s="22">
        <v>0.2</v>
      </c>
      <c r="C217" s="22">
        <v>0.2</v>
      </c>
      <c r="D217" s="15">
        <v>0.08</v>
      </c>
      <c r="E217" s="23">
        <v>1</v>
      </c>
      <c r="F217" s="23">
        <v>0.86299999999999999</v>
      </c>
      <c r="G217" s="23">
        <v>0.3</v>
      </c>
      <c r="H217" s="27">
        <v>0.45</v>
      </c>
      <c r="I217" s="24">
        <f t="shared" si="97"/>
        <v>0.76923076923076916</v>
      </c>
      <c r="J217" s="23">
        <f t="shared" si="97"/>
        <v>0.65727341964965724</v>
      </c>
      <c r="K217" s="25">
        <f>-LN(I217)</f>
        <v>0.26236426446749112</v>
      </c>
      <c r="L217" s="25">
        <f t="shared" si="98"/>
        <v>0.41965518321936829</v>
      </c>
      <c r="M217" s="26">
        <v>3.8765370349898062E-2</v>
      </c>
      <c r="N217" s="26" t="e">
        <v>#N/A</v>
      </c>
      <c r="O217" s="177"/>
      <c r="P217" s="180"/>
      <c r="Q217" s="174"/>
      <c r="R217" s="174"/>
      <c r="S217" s="55"/>
    </row>
    <row r="218" spans="1:19">
      <c r="A218" s="183"/>
      <c r="B218" s="22">
        <v>0.2</v>
      </c>
      <c r="C218" s="22">
        <v>0.2</v>
      </c>
      <c r="D218" s="22">
        <v>0.12</v>
      </c>
      <c r="E218" s="23">
        <v>1</v>
      </c>
      <c r="F218" s="23">
        <v>0.79500000000000004</v>
      </c>
      <c r="G218" s="23">
        <v>0.41</v>
      </c>
      <c r="H218" s="27">
        <v>0.64</v>
      </c>
      <c r="I218" s="24">
        <f t="shared" si="97"/>
        <v>0.70921985815602839</v>
      </c>
      <c r="J218" s="23">
        <f t="shared" si="97"/>
        <v>0.55400696864111498</v>
      </c>
      <c r="K218" s="25">
        <f>-LN(I218)</f>
        <v>0.34358970439007686</v>
      </c>
      <c r="L218" s="25">
        <f t="shared" si="98"/>
        <v>0.59057801353938955</v>
      </c>
      <c r="M218" s="26">
        <v>0.99892876827195232</v>
      </c>
      <c r="N218" s="26">
        <v>1.7612549884237515E-2</v>
      </c>
      <c r="O218" s="177"/>
      <c r="P218" s="180"/>
      <c r="Q218" s="174"/>
      <c r="R218" s="174"/>
      <c r="S218" s="55"/>
    </row>
    <row r="219" spans="1:19">
      <c r="A219" s="183"/>
      <c r="B219" s="45"/>
      <c r="C219" s="45"/>
      <c r="D219" s="45"/>
      <c r="E219" s="46"/>
      <c r="F219" s="46"/>
      <c r="G219" s="46"/>
      <c r="H219" s="46"/>
      <c r="I219" s="46"/>
      <c r="J219" s="46"/>
      <c r="K219" s="47"/>
      <c r="L219" s="47"/>
      <c r="M219" s="26">
        <v>1865.0096745966755</v>
      </c>
      <c r="N219" s="26">
        <v>2</v>
      </c>
      <c r="O219" s="177"/>
      <c r="P219" s="180"/>
      <c r="Q219" s="174"/>
      <c r="R219" s="174"/>
      <c r="S219" s="55"/>
    </row>
    <row r="220" spans="1:19">
      <c r="A220" s="184"/>
      <c r="B220" s="45"/>
      <c r="C220" s="45"/>
      <c r="D220" s="45"/>
      <c r="E220" s="46"/>
      <c r="F220" s="46"/>
      <c r="G220" s="46"/>
      <c r="H220" s="46"/>
      <c r="I220" s="46"/>
      <c r="J220" s="46"/>
      <c r="K220" s="47"/>
      <c r="L220" s="47"/>
      <c r="M220" s="26">
        <v>0.57852956961556823</v>
      </c>
      <c r="N220" s="26">
        <v>6.2040382684950982E-4</v>
      </c>
      <c r="O220" s="178"/>
      <c r="P220" s="180"/>
      <c r="Q220" s="174"/>
      <c r="R220" s="174"/>
      <c r="S220" s="55"/>
    </row>
    <row r="221" spans="1:19" s="19" customFormat="1">
      <c r="A221" s="182" t="s">
        <v>776</v>
      </c>
      <c r="B221" s="30">
        <v>0.2</v>
      </c>
      <c r="C221" s="30">
        <v>0.2</v>
      </c>
      <c r="D221" s="18">
        <v>0.04</v>
      </c>
      <c r="E221" s="31">
        <v>1</v>
      </c>
      <c r="F221" s="31">
        <v>0.88800000000000001</v>
      </c>
      <c r="G221" s="31">
        <v>0.112</v>
      </c>
      <c r="H221" s="32">
        <v>0.17100000000000001</v>
      </c>
      <c r="I221" s="32">
        <f t="shared" ref="I221:I223" si="100">E221/(E221+G221)</f>
        <v>0.89928057553956831</v>
      </c>
      <c r="J221" s="31">
        <f t="shared" ref="J221:J223" si="101">F221/(F221+H221)</f>
        <v>0.83852691218130315</v>
      </c>
      <c r="K221" s="33">
        <f>-LN(I221)</f>
        <v>0.10616019582839067</v>
      </c>
      <c r="L221" s="33">
        <f t="shared" ref="L221:L223" si="102">-LN(J221)</f>
        <v>0.17610860260923636</v>
      </c>
      <c r="M221" s="34" cm="1">
        <f t="array" ref="M221:N225">LINEST(L221:L223,K221:K223,FALSE,TRUE)</f>
        <v>1.6471827318548384</v>
      </c>
      <c r="N221" s="34">
        <v>0</v>
      </c>
      <c r="O221" s="176">
        <f t="shared" ref="O221" si="103">TINV(0.32,N224)*M222</f>
        <v>4.7486651399592586E-2</v>
      </c>
      <c r="P221" s="179">
        <f>O221*100/M221</f>
        <v>2.8829012398715124</v>
      </c>
      <c r="Q221" s="173">
        <f>-1.99*273*LN(M221)/1000</f>
        <v>-0.27112779951203431</v>
      </c>
      <c r="R221" s="173">
        <f>ABS(1.99*273*O221/M221/1000)</f>
        <v>1.5661937565849965E-2</v>
      </c>
      <c r="S221" s="77"/>
    </row>
    <row r="222" spans="1:19">
      <c r="A222" s="183" t="s">
        <v>777</v>
      </c>
      <c r="B222" s="22">
        <v>0.2</v>
      </c>
      <c r="C222" s="22">
        <v>0.2</v>
      </c>
      <c r="D222" s="15">
        <v>0.08</v>
      </c>
      <c r="E222" s="23">
        <v>1</v>
      </c>
      <c r="F222" s="23">
        <v>0.82599999999999996</v>
      </c>
      <c r="G222" s="23">
        <v>0.26</v>
      </c>
      <c r="H222" s="27">
        <v>0.35699999999999998</v>
      </c>
      <c r="I222" s="24">
        <f t="shared" si="100"/>
        <v>0.79365079365079361</v>
      </c>
      <c r="J222" s="23">
        <f t="shared" si="101"/>
        <v>0.69822485207100593</v>
      </c>
      <c r="K222" s="25">
        <f>-LN(I222)</f>
        <v>0.2311117209633867</v>
      </c>
      <c r="L222" s="25">
        <f t="shared" si="102"/>
        <v>0.35921409045740871</v>
      </c>
      <c r="M222" s="26">
        <v>3.6205726394876028E-2</v>
      </c>
      <c r="N222" s="26" t="e">
        <v>#N/A</v>
      </c>
      <c r="O222" s="177"/>
      <c r="P222" s="180"/>
      <c r="Q222" s="174"/>
      <c r="R222" s="174"/>
      <c r="S222" s="55"/>
    </row>
    <row r="223" spans="1:19">
      <c r="A223" s="183" t="s">
        <v>778</v>
      </c>
      <c r="B223" s="22">
        <v>0.2</v>
      </c>
      <c r="C223" s="22">
        <v>0.2</v>
      </c>
      <c r="D223" s="22">
        <v>0.12</v>
      </c>
      <c r="E223" s="23">
        <v>1</v>
      </c>
      <c r="F223" s="23">
        <v>0.71799999999999997</v>
      </c>
      <c r="G223" s="23">
        <v>0.502</v>
      </c>
      <c r="H223" s="27">
        <v>0.70199999999999996</v>
      </c>
      <c r="I223" s="24">
        <f t="shared" si="100"/>
        <v>0.66577896138482029</v>
      </c>
      <c r="J223" s="23">
        <f t="shared" si="101"/>
        <v>0.5056338028169014</v>
      </c>
      <c r="K223" s="25">
        <f>-LN(I223)</f>
        <v>0.40679755334194295</v>
      </c>
      <c r="L223" s="25">
        <f t="shared" si="102"/>
        <v>0.6819425815470822</v>
      </c>
      <c r="M223" s="26">
        <v>0.99903465729503371</v>
      </c>
      <c r="N223" s="26">
        <v>1.7369953889175314E-2</v>
      </c>
      <c r="O223" s="177"/>
      <c r="P223" s="180"/>
      <c r="Q223" s="174"/>
      <c r="R223" s="174"/>
      <c r="S223" s="55"/>
    </row>
    <row r="224" spans="1:19">
      <c r="A224" s="183"/>
      <c r="B224" s="45"/>
      <c r="C224" s="45"/>
      <c r="D224" s="45"/>
      <c r="E224" s="46"/>
      <c r="F224" s="46"/>
      <c r="G224" s="46"/>
      <c r="H224" s="46"/>
      <c r="I224" s="46"/>
      <c r="J224" s="46"/>
      <c r="K224" s="47"/>
      <c r="L224" s="47"/>
      <c r="M224" s="26">
        <v>2069.8030909755848</v>
      </c>
      <c r="N224" s="26">
        <v>2</v>
      </c>
      <c r="O224" s="177"/>
      <c r="P224" s="180"/>
      <c r="Q224" s="174"/>
      <c r="R224" s="174"/>
      <c r="S224" s="55"/>
    </row>
    <row r="225" spans="1:19">
      <c r="A225" s="184"/>
      <c r="B225" s="45"/>
      <c r="C225" s="45"/>
      <c r="D225" s="45"/>
      <c r="E225" s="46"/>
      <c r="F225" s="46"/>
      <c r="G225" s="46"/>
      <c r="H225" s="46"/>
      <c r="I225" s="46"/>
      <c r="J225" s="46"/>
      <c r="K225" s="47"/>
      <c r="L225" s="47"/>
      <c r="M225" s="26">
        <v>0.62449125662699612</v>
      </c>
      <c r="N225" s="26">
        <v>6.0343059622415313E-4</v>
      </c>
      <c r="O225" s="178"/>
      <c r="P225" s="180"/>
      <c r="Q225" s="174"/>
      <c r="R225" s="174"/>
      <c r="S225" s="55"/>
    </row>
    <row r="226" spans="1:19" s="19" customFormat="1">
      <c r="A226" s="182" t="s">
        <v>40</v>
      </c>
      <c r="B226" s="30">
        <v>0.2</v>
      </c>
      <c r="C226" s="30">
        <v>0.2</v>
      </c>
      <c r="D226" s="18">
        <v>0.02</v>
      </c>
      <c r="E226" s="31">
        <v>1</v>
      </c>
      <c r="F226" s="31">
        <v>0.99099999999999999</v>
      </c>
      <c r="G226" s="31">
        <v>3.5000000000000003E-2</v>
      </c>
      <c r="H226" s="32">
        <v>6.2E-2</v>
      </c>
      <c r="I226" s="32">
        <f>E226/(E226+G226)</f>
        <v>0.96618357487922713</v>
      </c>
      <c r="J226" s="31">
        <f>F226/(F226+H226)</f>
        <v>0.94112060778727447</v>
      </c>
      <c r="K226" s="33">
        <f>-LN(I226)</f>
        <v>3.4401426717332324E-2</v>
      </c>
      <c r="L226" s="33">
        <f>-LN(J226)</f>
        <v>6.0683977803987502E-2</v>
      </c>
      <c r="M226" s="34" cm="1">
        <f t="array" ref="M226:N230">LINEST(L226:L232,K226:K232,FALSE,TRUE)</f>
        <v>1.5883242720217843</v>
      </c>
      <c r="N226" s="34">
        <v>0</v>
      </c>
      <c r="O226" s="176">
        <f>TINV(0.32,N229)*M227</f>
        <v>3.034327261090294E-2</v>
      </c>
      <c r="P226" s="179">
        <f>O226*100/M226</f>
        <v>1.9103953232597062</v>
      </c>
      <c r="Q226" s="173">
        <f>-1.99*273*LN(M226)/1000</f>
        <v>-0.25135991559925697</v>
      </c>
      <c r="R226" s="173">
        <f>ABS(1.99*273*O226/M226/1000)</f>
        <v>1.0378604672673004E-2</v>
      </c>
      <c r="S226" s="77"/>
    </row>
    <row r="227" spans="1:19" ht="14">
      <c r="A227" s="183"/>
      <c r="B227" s="22">
        <v>0.2</v>
      </c>
      <c r="C227" s="22">
        <v>0.2</v>
      </c>
      <c r="D227" s="15">
        <v>0.04</v>
      </c>
      <c r="E227" s="23">
        <v>1</v>
      </c>
      <c r="F227" s="23">
        <v>0.81699999999999995</v>
      </c>
      <c r="G227" s="23">
        <v>0.23</v>
      </c>
      <c r="H227" s="24">
        <v>0.35</v>
      </c>
      <c r="I227" s="24">
        <f t="shared" ref="I227:J232" si="104">E227/(E227+G227)</f>
        <v>0.81300813008130079</v>
      </c>
      <c r="J227" s="23">
        <f t="shared" si="104"/>
        <v>0.70008568980291352</v>
      </c>
      <c r="K227" s="25">
        <f t="shared" ref="K227:L232" si="105">-LN(I227)</f>
        <v>0.20701416938432615</v>
      </c>
      <c r="L227" s="25">
        <f t="shared" si="105"/>
        <v>0.35655253742655302</v>
      </c>
      <c r="M227" s="26">
        <v>2.7992576950908593E-2</v>
      </c>
      <c r="N227" s="26" t="e">
        <v>#N/A</v>
      </c>
      <c r="O227" s="177"/>
      <c r="P227" s="180"/>
      <c r="Q227" s="174"/>
      <c r="R227" s="174"/>
      <c r="S227" s="74"/>
    </row>
    <row r="228" spans="1:19" ht="14">
      <c r="A228" s="183"/>
      <c r="B228" s="22">
        <v>0.2</v>
      </c>
      <c r="C228" s="22">
        <v>0.2</v>
      </c>
      <c r="D228" s="15">
        <v>0.06</v>
      </c>
      <c r="E228" s="23">
        <v>1</v>
      </c>
      <c r="F228" s="23">
        <v>0.79800000000000004</v>
      </c>
      <c r="G228" s="23">
        <v>0.374</v>
      </c>
      <c r="H228" s="24">
        <v>0.56899999999999995</v>
      </c>
      <c r="I228" s="24">
        <f>E228/(E228+G228)</f>
        <v>0.72780203784570596</v>
      </c>
      <c r="J228" s="23">
        <f>F228/(F228+H228)</f>
        <v>0.58376005852231172</v>
      </c>
      <c r="K228" s="25">
        <f>-LN(I228)</f>
        <v>0.3177261938001576</v>
      </c>
      <c r="L228" s="25">
        <f>-LN(J228)</f>
        <v>0.53826523927414061</v>
      </c>
      <c r="M228" s="26">
        <v>0.99813984104397646</v>
      </c>
      <c r="N228" s="26">
        <v>7.9026828436036076E-2</v>
      </c>
      <c r="O228" s="177"/>
      <c r="P228" s="180"/>
      <c r="Q228" s="174"/>
      <c r="R228" s="174"/>
      <c r="S228" s="74"/>
    </row>
    <row r="229" spans="1:19">
      <c r="A229" s="183"/>
      <c r="B229" s="22">
        <v>0.2</v>
      </c>
      <c r="C229" s="22">
        <v>0.2</v>
      </c>
      <c r="D229" s="15">
        <v>0.08</v>
      </c>
      <c r="E229" s="23">
        <v>1</v>
      </c>
      <c r="F229" s="23">
        <v>0.70299999999999996</v>
      </c>
      <c r="G229" s="23">
        <v>0.55000000000000004</v>
      </c>
      <c r="H229" s="27">
        <v>0.8</v>
      </c>
      <c r="I229" s="24">
        <f t="shared" si="104"/>
        <v>0.64516129032258063</v>
      </c>
      <c r="J229" s="23">
        <f t="shared" si="104"/>
        <v>0.46773120425815029</v>
      </c>
      <c r="K229" s="25">
        <f t="shared" si="105"/>
        <v>0.43825493093115531</v>
      </c>
      <c r="L229" s="25">
        <f t="shared" si="105"/>
        <v>0.75986149794230973</v>
      </c>
      <c r="M229" s="26">
        <v>3219.5307970164149</v>
      </c>
      <c r="N229" s="26">
        <v>6</v>
      </c>
      <c r="O229" s="177"/>
      <c r="P229" s="180"/>
      <c r="Q229" s="174"/>
      <c r="R229" s="174"/>
      <c r="S229" s="55"/>
    </row>
    <row r="230" spans="1:19">
      <c r="A230" s="183"/>
      <c r="B230" s="22">
        <v>0.2</v>
      </c>
      <c r="C230" s="22">
        <v>0.2</v>
      </c>
      <c r="D230" s="22">
        <v>0.12</v>
      </c>
      <c r="E230" s="23">
        <v>1</v>
      </c>
      <c r="F230" s="23">
        <v>0.63700000000000001</v>
      </c>
      <c r="G230" s="23">
        <v>1.17</v>
      </c>
      <c r="H230" s="27">
        <v>1.48</v>
      </c>
      <c r="I230" s="24">
        <f t="shared" si="104"/>
        <v>0.46082949308755761</v>
      </c>
      <c r="J230" s="23">
        <f t="shared" si="104"/>
        <v>0.30089749645725083</v>
      </c>
      <c r="K230" s="25">
        <f t="shared" si="105"/>
        <v>0.77472716755236815</v>
      </c>
      <c r="L230" s="25">
        <f t="shared" si="105"/>
        <v>1.2009856155627019</v>
      </c>
      <c r="M230" s="26">
        <v>20.106741267701484</v>
      </c>
      <c r="N230" s="26">
        <v>3.7471437675952075E-2</v>
      </c>
      <c r="O230" s="177"/>
      <c r="P230" s="180"/>
      <c r="Q230" s="174"/>
      <c r="R230" s="174"/>
      <c r="S230" s="55"/>
    </row>
    <row r="231" spans="1:19">
      <c r="A231" s="183"/>
      <c r="B231" s="22">
        <v>0.2</v>
      </c>
      <c r="C231" s="22">
        <v>0.2</v>
      </c>
      <c r="D231" s="22">
        <v>0.16</v>
      </c>
      <c r="E231" s="23">
        <v>1</v>
      </c>
      <c r="F231" s="23">
        <v>0.38700000000000001</v>
      </c>
      <c r="G231" s="23">
        <v>3.11</v>
      </c>
      <c r="H231" s="27">
        <v>3.83</v>
      </c>
      <c r="I231" s="24">
        <f t="shared" si="104"/>
        <v>0.24330900243309006</v>
      </c>
      <c r="J231" s="23">
        <f t="shared" si="104"/>
        <v>9.1771401470239503E-2</v>
      </c>
      <c r="K231" s="25">
        <f t="shared" si="105"/>
        <v>1.4134230285081431</v>
      </c>
      <c r="L231" s="25">
        <f t="shared" si="105"/>
        <v>2.3884545607167782</v>
      </c>
      <c r="M231" s="66"/>
      <c r="N231" s="66"/>
      <c r="O231" s="177"/>
      <c r="P231" s="180"/>
      <c r="Q231" s="174"/>
      <c r="R231" s="174"/>
      <c r="S231" s="55"/>
    </row>
    <row r="232" spans="1:19">
      <c r="A232" s="184"/>
      <c r="B232" s="22">
        <v>0.2</v>
      </c>
      <c r="C232" s="22">
        <v>0.2</v>
      </c>
      <c r="D232" s="22">
        <v>0.2</v>
      </c>
      <c r="E232" s="23">
        <v>1</v>
      </c>
      <c r="F232" s="23">
        <v>0.28599999999999998</v>
      </c>
      <c r="G232" s="23">
        <v>8.43</v>
      </c>
      <c r="H232" s="27">
        <v>8.85</v>
      </c>
      <c r="I232" s="24">
        <f t="shared" si="104"/>
        <v>0.10604453870625663</v>
      </c>
      <c r="J232" s="23">
        <f t="shared" si="104"/>
        <v>3.130472854640981E-2</v>
      </c>
      <c r="K232" s="25">
        <f t="shared" si="105"/>
        <v>2.2438960966453663</v>
      </c>
      <c r="L232" s="25">
        <f t="shared" si="105"/>
        <v>3.4639861210759388</v>
      </c>
      <c r="M232" s="67"/>
      <c r="N232" s="67"/>
      <c r="O232" s="178"/>
      <c r="P232" s="181"/>
      <c r="Q232" s="175"/>
      <c r="R232" s="175"/>
      <c r="S232" s="55"/>
    </row>
    <row r="233" spans="1:19" s="19" customFormat="1">
      <c r="A233" s="182" t="s">
        <v>742</v>
      </c>
      <c r="B233" s="30">
        <v>0.2</v>
      </c>
      <c r="C233" s="30">
        <v>0.2</v>
      </c>
      <c r="D233" s="18">
        <v>0.04</v>
      </c>
      <c r="E233" s="31">
        <v>1</v>
      </c>
      <c r="F233" s="31">
        <v>1</v>
      </c>
      <c r="G233" s="31">
        <v>8.1000000000000003E-2</v>
      </c>
      <c r="H233" s="32">
        <v>0.14000000000000001</v>
      </c>
      <c r="I233" s="32">
        <f t="shared" ref="I233:J237" si="106">E233/(E233+G233)</f>
        <v>0.92506938020351526</v>
      </c>
      <c r="J233" s="31">
        <f t="shared" si="106"/>
        <v>0.8771929824561403</v>
      </c>
      <c r="K233" s="33">
        <f t="shared" ref="K233:L237" si="107">-LN(I233)</f>
        <v>7.7886538657071236E-2</v>
      </c>
      <c r="L233" s="33">
        <f t="shared" si="107"/>
        <v>0.13102826240640414</v>
      </c>
      <c r="M233" s="34" cm="1">
        <f t="array" ref="M233:N237">LINEST(L233:L237,K233:K237,FALSE,TRUE)</f>
        <v>1.5143490439821412</v>
      </c>
      <c r="N233" s="34">
        <v>0</v>
      </c>
      <c r="O233" s="176">
        <f>TINV(0.32,N236)*M234</f>
        <v>1.7271705082273169E-2</v>
      </c>
      <c r="P233" s="179">
        <f>O233*100/M233</f>
        <v>1.1405365989372829</v>
      </c>
      <c r="Q233" s="173">
        <f>-1.99*273*LN(M233)/1000</f>
        <v>-0.22544926640004398</v>
      </c>
      <c r="R233" s="173">
        <f>ABS(1.99*273*O233/M233/1000)</f>
        <v>6.1961931810465753E-3</v>
      </c>
      <c r="S233" s="77"/>
    </row>
    <row r="234" spans="1:19">
      <c r="A234" s="183"/>
      <c r="B234" s="22">
        <v>0.2</v>
      </c>
      <c r="C234" s="22">
        <v>0.2</v>
      </c>
      <c r="D234" s="15">
        <v>0.08</v>
      </c>
      <c r="E234" s="23">
        <v>1</v>
      </c>
      <c r="F234" s="23">
        <v>0.95</v>
      </c>
      <c r="G234" s="23">
        <v>0.16</v>
      </c>
      <c r="H234" s="27">
        <v>0.23</v>
      </c>
      <c r="I234" s="24">
        <f t="shared" si="106"/>
        <v>0.86206896551724144</v>
      </c>
      <c r="J234" s="23">
        <f t="shared" si="106"/>
        <v>0.80508474576271183</v>
      </c>
      <c r="K234" s="25">
        <f t="shared" si="107"/>
        <v>0.14842000511827322</v>
      </c>
      <c r="L234" s="25">
        <f t="shared" si="107"/>
        <v>0.21680773286512398</v>
      </c>
      <c r="M234" s="26">
        <v>1.5225455104591312E-2</v>
      </c>
      <c r="N234" s="26" t="e">
        <v>#N/A</v>
      </c>
      <c r="O234" s="177"/>
      <c r="P234" s="180"/>
      <c r="Q234" s="174"/>
      <c r="R234" s="174"/>
      <c r="S234" s="55"/>
    </row>
    <row r="235" spans="1:19">
      <c r="A235" s="183"/>
      <c r="B235" s="22">
        <v>0.2</v>
      </c>
      <c r="C235" s="22">
        <v>0.2</v>
      </c>
      <c r="D235" s="22">
        <v>0.12</v>
      </c>
      <c r="E235" s="23">
        <v>1</v>
      </c>
      <c r="F235" s="23">
        <v>0.89</v>
      </c>
      <c r="G235" s="23">
        <v>0.24</v>
      </c>
      <c r="H235" s="27">
        <v>0.35</v>
      </c>
      <c r="I235" s="24">
        <f t="shared" si="106"/>
        <v>0.80645161290322587</v>
      </c>
      <c r="J235" s="23">
        <f t="shared" si="106"/>
        <v>0.717741935483871</v>
      </c>
      <c r="K235" s="25">
        <f t="shared" si="107"/>
        <v>0.21511137961694543</v>
      </c>
      <c r="L235" s="25">
        <f t="shared" si="107"/>
        <v>0.33164519587289698</v>
      </c>
      <c r="M235" s="26">
        <v>0.99959582168033889</v>
      </c>
      <c r="N235" s="26">
        <v>8.3431688065319313E-3</v>
      </c>
      <c r="O235" s="177"/>
      <c r="P235" s="180"/>
      <c r="Q235" s="174"/>
      <c r="R235" s="174"/>
      <c r="S235" s="55"/>
    </row>
    <row r="236" spans="1:19">
      <c r="A236" s="183"/>
      <c r="B236" s="22">
        <v>0.2</v>
      </c>
      <c r="C236" s="22">
        <v>0.2</v>
      </c>
      <c r="D236" s="15">
        <v>0.16</v>
      </c>
      <c r="E236" s="23">
        <v>1</v>
      </c>
      <c r="F236" s="27">
        <v>0.9</v>
      </c>
      <c r="G236" s="27">
        <v>0.34500000000000003</v>
      </c>
      <c r="H236" s="27">
        <v>0.51</v>
      </c>
      <c r="I236" s="24">
        <f t="shared" si="106"/>
        <v>0.74349442379182162</v>
      </c>
      <c r="J236" s="23">
        <f t="shared" si="106"/>
        <v>0.63829787234042545</v>
      </c>
      <c r="K236" s="25">
        <f t="shared" si="107"/>
        <v>0.29639401305380236</v>
      </c>
      <c r="L236" s="25">
        <f t="shared" si="107"/>
        <v>0.44895022004790336</v>
      </c>
      <c r="M236" s="26">
        <v>9892.6218755952796</v>
      </c>
      <c r="N236" s="26">
        <v>4</v>
      </c>
      <c r="O236" s="177"/>
      <c r="P236" s="180"/>
      <c r="Q236" s="174"/>
      <c r="R236" s="174"/>
      <c r="S236" s="55"/>
    </row>
    <row r="237" spans="1:19">
      <c r="A237" s="184"/>
      <c r="B237" s="22">
        <v>0.2</v>
      </c>
      <c r="C237" s="22">
        <v>0.2</v>
      </c>
      <c r="D237" s="15">
        <v>0.2</v>
      </c>
      <c r="E237" s="23">
        <v>1</v>
      </c>
      <c r="F237" s="27">
        <v>0.84</v>
      </c>
      <c r="G237" s="27">
        <v>0.45</v>
      </c>
      <c r="H237" s="27">
        <v>0.63</v>
      </c>
      <c r="I237" s="24">
        <f t="shared" si="106"/>
        <v>0.68965517241379315</v>
      </c>
      <c r="J237" s="23">
        <f t="shared" si="106"/>
        <v>0.5714285714285714</v>
      </c>
      <c r="K237" s="25">
        <f t="shared" si="107"/>
        <v>0.37156355643248296</v>
      </c>
      <c r="L237" s="25">
        <f t="shared" si="107"/>
        <v>0.55961578793542277</v>
      </c>
      <c r="M237" s="26">
        <v>0.68861023084963646</v>
      </c>
      <c r="N237" s="26">
        <v>2.7843386293714982E-4</v>
      </c>
      <c r="O237" s="177"/>
      <c r="P237" s="180"/>
      <c r="Q237" s="174"/>
      <c r="R237" s="174"/>
      <c r="S237" s="55"/>
    </row>
    <row r="238" spans="1:19" s="19" customFormat="1">
      <c r="A238" s="182" t="s">
        <v>779</v>
      </c>
      <c r="B238" s="30">
        <v>0.2</v>
      </c>
      <c r="C238" s="30">
        <v>0.2</v>
      </c>
      <c r="D238" s="18">
        <v>0.04</v>
      </c>
      <c r="E238" s="31">
        <v>1</v>
      </c>
      <c r="F238" s="31">
        <v>1.03</v>
      </c>
      <c r="G238" s="31">
        <v>7.0999999999999994E-2</v>
      </c>
      <c r="H238" s="32">
        <v>0.11</v>
      </c>
      <c r="I238" s="32">
        <f t="shared" ref="I238:J240" si="108">E238/(E238+G238)</f>
        <v>0.93370681605975725</v>
      </c>
      <c r="J238" s="31">
        <f t="shared" si="108"/>
        <v>0.90350877192982448</v>
      </c>
      <c r="K238" s="33">
        <f>-LN(I238)</f>
        <v>6.8592791465611702E-2</v>
      </c>
      <c r="L238" s="33">
        <f t="shared" ref="L238:L240" si="109">-LN(J238)</f>
        <v>0.10146946016485978</v>
      </c>
      <c r="M238" s="34" cm="1">
        <f t="array" ref="M238:N242">LINEST(L238:L240,K238:K240,FALSE,TRUE)</f>
        <v>1.4736514455445355</v>
      </c>
      <c r="N238" s="34">
        <v>0</v>
      </c>
      <c r="O238" s="176">
        <f t="shared" ref="O238" si="110">TINV(0.32,N241)*M239</f>
        <v>4.2975318437466263E-2</v>
      </c>
      <c r="P238" s="179">
        <f>O238*100/M238</f>
        <v>2.9162471605750886</v>
      </c>
      <c r="Q238" s="173">
        <f>-1.99*273*LN(M238)/1000</f>
        <v>-0.21064930116823263</v>
      </c>
      <c r="R238" s="173">
        <f>ABS(1.99*273*O238/M238/1000)</f>
        <v>1.5843095949256283E-2</v>
      </c>
      <c r="S238" s="77"/>
    </row>
    <row r="239" spans="1:19">
      <c r="A239" s="183"/>
      <c r="B239" s="22">
        <v>0.2</v>
      </c>
      <c r="C239" s="22">
        <v>0.2</v>
      </c>
      <c r="D239" s="15">
        <v>0.06</v>
      </c>
      <c r="E239" s="23">
        <v>1</v>
      </c>
      <c r="F239" s="23">
        <v>1.06</v>
      </c>
      <c r="G239" s="23">
        <v>8.3000000000000004E-2</v>
      </c>
      <c r="H239" s="27">
        <v>0.14000000000000001</v>
      </c>
      <c r="I239" s="24">
        <f t="shared" si="108"/>
        <v>0.92336103416435833</v>
      </c>
      <c r="J239" s="23">
        <f t="shared" si="108"/>
        <v>0.88333333333333319</v>
      </c>
      <c r="K239" s="25">
        <f>-LN(I239)</f>
        <v>7.9734968018853492E-2</v>
      </c>
      <c r="L239" s="25">
        <f t="shared" si="109"/>
        <v>0.124052648669979</v>
      </c>
      <c r="M239" s="26">
        <v>3.2766105320555919E-2</v>
      </c>
      <c r="N239" s="26" t="e">
        <v>#N/A</v>
      </c>
      <c r="O239" s="177"/>
      <c r="P239" s="180"/>
      <c r="Q239" s="174"/>
      <c r="R239" s="174"/>
      <c r="S239" s="55"/>
    </row>
    <row r="240" spans="1:19">
      <c r="A240" s="183"/>
      <c r="B240" s="22">
        <v>0.2</v>
      </c>
      <c r="C240" s="22">
        <v>0.2</v>
      </c>
      <c r="D240" s="22">
        <v>0.08</v>
      </c>
      <c r="E240" s="23">
        <v>1</v>
      </c>
      <c r="F240" s="23">
        <v>1.01</v>
      </c>
      <c r="G240" s="23">
        <v>0.14000000000000001</v>
      </c>
      <c r="H240" s="27">
        <v>0.21</v>
      </c>
      <c r="I240" s="24">
        <f t="shared" si="108"/>
        <v>0.8771929824561403</v>
      </c>
      <c r="J240" s="23">
        <f t="shared" si="108"/>
        <v>0.82786885245901642</v>
      </c>
      <c r="K240" s="25">
        <f>-LN(I240)</f>
        <v>0.13102826240640414</v>
      </c>
      <c r="L240" s="25">
        <f t="shared" si="109"/>
        <v>0.18890052789199707</v>
      </c>
      <c r="M240" s="26">
        <v>0.9990122184900222</v>
      </c>
      <c r="N240" s="26">
        <v>5.5053923462166079E-3</v>
      </c>
      <c r="O240" s="177"/>
      <c r="P240" s="180"/>
      <c r="Q240" s="174"/>
      <c r="R240" s="174"/>
      <c r="S240" s="55"/>
    </row>
    <row r="241" spans="1:19">
      <c r="A241" s="183"/>
      <c r="B241" s="45"/>
      <c r="C241" s="45"/>
      <c r="D241" s="45"/>
      <c r="E241" s="46"/>
      <c r="F241" s="46"/>
      <c r="G241" s="46"/>
      <c r="H241" s="46"/>
      <c r="I241" s="46"/>
      <c r="J241" s="46"/>
      <c r="K241" s="47"/>
      <c r="L241" s="47"/>
      <c r="M241" s="26">
        <v>2022.7392564017923</v>
      </c>
      <c r="N241" s="26">
        <v>2</v>
      </c>
      <c r="O241" s="177"/>
      <c r="P241" s="180"/>
      <c r="Q241" s="174"/>
      <c r="R241" s="174"/>
      <c r="S241" s="55"/>
    </row>
    <row r="242" spans="1:19">
      <c r="A242" s="184"/>
      <c r="B242" s="45"/>
      <c r="C242" s="45"/>
      <c r="D242" s="45"/>
      <c r="E242" s="46"/>
      <c r="F242" s="46"/>
      <c r="G242" s="46"/>
      <c r="H242" s="46"/>
      <c r="I242" s="46"/>
      <c r="J242" s="46"/>
      <c r="K242" s="47"/>
      <c r="L242" s="47"/>
      <c r="M242" s="26">
        <v>6.1307901736288917E-2</v>
      </c>
      <c r="N242" s="26">
        <v>6.0618689771560807E-5</v>
      </c>
      <c r="O242" s="177"/>
      <c r="P242" s="181"/>
      <c r="Q242" s="175"/>
      <c r="R242" s="175"/>
      <c r="S242" s="55"/>
    </row>
    <row r="243" spans="1:19" s="19" customFormat="1">
      <c r="A243" s="182" t="s">
        <v>780</v>
      </c>
      <c r="B243" s="30">
        <v>0.2</v>
      </c>
      <c r="C243" s="30">
        <v>0.2</v>
      </c>
      <c r="D243" s="18">
        <v>0.04</v>
      </c>
      <c r="E243" s="31">
        <v>1</v>
      </c>
      <c r="F243" s="31">
        <v>0.82</v>
      </c>
      <c r="G243" s="31">
        <v>0.28999999999999998</v>
      </c>
      <c r="H243" s="32">
        <v>0.43</v>
      </c>
      <c r="I243" s="32">
        <f t="shared" ref="I243:J245" si="111">E243/(E243+G243)</f>
        <v>0.77519379844961234</v>
      </c>
      <c r="J243" s="31">
        <f t="shared" si="111"/>
        <v>0.65599999999999992</v>
      </c>
      <c r="K243" s="33">
        <f>-LN(I243)</f>
        <v>0.25464221837358081</v>
      </c>
      <c r="L243" s="33">
        <f t="shared" ref="L243:L245" si="112">-LN(J243)</f>
        <v>0.42159449003804816</v>
      </c>
      <c r="M243" s="34" cm="1">
        <f t="array" ref="M243:N247">LINEST(L243:L245,K243:K245,FALSE,TRUE)</f>
        <v>1.469876917099366</v>
      </c>
      <c r="N243" s="34">
        <v>0</v>
      </c>
      <c r="O243" s="176">
        <f t="shared" ref="O243" si="113">TINV(0.32,N246)*M244</f>
        <v>0.16483392926492293</v>
      </c>
      <c r="P243" s="179">
        <f>O243*100/M243</f>
        <v>11.214131424704854</v>
      </c>
      <c r="Q243" s="173">
        <f>-1.99*273*LN(M243)/1000</f>
        <v>-0.20925601464965848</v>
      </c>
      <c r="R243" s="173">
        <f>ABS(1.99*273*O243/M243/1000)</f>
        <v>6.0923011790994068E-2</v>
      </c>
      <c r="S243" s="77"/>
    </row>
    <row r="244" spans="1:19">
      <c r="A244" s="183"/>
      <c r="B244" s="22">
        <v>0.2</v>
      </c>
      <c r="C244" s="22">
        <v>0.2</v>
      </c>
      <c r="D244" s="15">
        <v>0.06</v>
      </c>
      <c r="E244" s="23">
        <v>1</v>
      </c>
      <c r="F244" s="23">
        <v>0.79</v>
      </c>
      <c r="G244" s="23">
        <v>0.34</v>
      </c>
      <c r="H244" s="27">
        <v>0.48</v>
      </c>
      <c r="I244" s="24">
        <f t="shared" si="111"/>
        <v>0.74626865671641784</v>
      </c>
      <c r="J244" s="23">
        <f t="shared" si="111"/>
        <v>0.62204724409448819</v>
      </c>
      <c r="K244" s="25">
        <f>-LN(I244)</f>
        <v>0.2926696139628201</v>
      </c>
      <c r="L244" s="25">
        <f t="shared" si="112"/>
        <v>0.47473923399156975</v>
      </c>
      <c r="M244" s="26">
        <v>0.12567599457243159</v>
      </c>
      <c r="N244" s="26" t="e">
        <v>#N/A</v>
      </c>
      <c r="O244" s="177"/>
      <c r="P244" s="180"/>
      <c r="Q244" s="174"/>
      <c r="R244" s="174"/>
      <c r="S244" s="55"/>
    </row>
    <row r="245" spans="1:19">
      <c r="A245" s="183"/>
      <c r="B245" s="22">
        <v>0.2</v>
      </c>
      <c r="C245" s="22">
        <v>0.2</v>
      </c>
      <c r="D245" s="22">
        <v>0.08</v>
      </c>
      <c r="E245" s="23">
        <v>1</v>
      </c>
      <c r="F245" s="23">
        <v>0.89</v>
      </c>
      <c r="G245" s="23">
        <v>0.44</v>
      </c>
      <c r="H245" s="27">
        <v>0.53</v>
      </c>
      <c r="I245" s="24">
        <f t="shared" si="111"/>
        <v>0.69444444444444442</v>
      </c>
      <c r="J245" s="23">
        <f t="shared" si="111"/>
        <v>0.62676056338028174</v>
      </c>
      <c r="K245" s="25">
        <f>-LN(I245)</f>
        <v>0.3646431135879093</v>
      </c>
      <c r="L245" s="25">
        <f t="shared" si="112"/>
        <v>0.46719068786912082</v>
      </c>
      <c r="M245" s="26">
        <v>0.98558983566152236</v>
      </c>
      <c r="N245" s="26">
        <v>6.6911434161240679E-2</v>
      </c>
      <c r="O245" s="177"/>
      <c r="P245" s="180"/>
      <c r="Q245" s="174"/>
      <c r="R245" s="174"/>
      <c r="S245" s="55"/>
    </row>
    <row r="246" spans="1:19">
      <c r="A246" s="183"/>
      <c r="B246" s="45"/>
      <c r="C246" s="45"/>
      <c r="D246" s="45"/>
      <c r="E246" s="46"/>
      <c r="F246" s="46"/>
      <c r="G246" s="46"/>
      <c r="H246" s="46"/>
      <c r="I246" s="46"/>
      <c r="J246" s="46"/>
      <c r="K246" s="47"/>
      <c r="L246" s="47"/>
      <c r="M246" s="26">
        <v>136.79092236718355</v>
      </c>
      <c r="N246" s="26">
        <v>2</v>
      </c>
      <c r="O246" s="177"/>
      <c r="P246" s="180"/>
      <c r="Q246" s="174"/>
      <c r="R246" s="174"/>
      <c r="S246" s="55"/>
    </row>
    <row r="247" spans="1:19">
      <c r="A247" s="184"/>
      <c r="B247" s="45"/>
      <c r="C247" s="45"/>
      <c r="D247" s="45"/>
      <c r="E247" s="46"/>
      <c r="F247" s="46"/>
      <c r="G247" s="46"/>
      <c r="H247" s="46"/>
      <c r="I247" s="46"/>
      <c r="J247" s="46"/>
      <c r="K247" s="47"/>
      <c r="L247" s="47"/>
      <c r="M247" s="26">
        <v>0.6124321131099385</v>
      </c>
      <c r="N247" s="26">
        <v>8.9542800430280935E-3</v>
      </c>
      <c r="O247" s="177"/>
      <c r="P247" s="181"/>
      <c r="Q247" s="175"/>
      <c r="R247" s="175"/>
      <c r="S247" s="55"/>
    </row>
    <row r="248" spans="1:19" s="19" customFormat="1">
      <c r="A248" s="182" t="s">
        <v>781</v>
      </c>
      <c r="B248" s="30">
        <v>0.2</v>
      </c>
      <c r="C248" s="30">
        <v>0.2</v>
      </c>
      <c r="D248" s="18">
        <v>0.5</v>
      </c>
      <c r="E248" s="31">
        <v>1</v>
      </c>
      <c r="F248" s="31">
        <v>0.89200000000000002</v>
      </c>
      <c r="G248" s="31">
        <v>0.30399999999999999</v>
      </c>
      <c r="H248" s="32">
        <v>0.39900000000000002</v>
      </c>
      <c r="I248" s="32">
        <f t="shared" ref="I248:J250" si="114">E248/(E248+G248)</f>
        <v>0.76687116564417179</v>
      </c>
      <c r="J248" s="31">
        <f t="shared" si="114"/>
        <v>0.69093725793958172</v>
      </c>
      <c r="K248" s="33">
        <f t="shared" ref="K248:L250" si="115">-LN(I248)</f>
        <v>0.26543646350446121</v>
      </c>
      <c r="L248" s="33">
        <f t="shared" si="115"/>
        <v>0.36970625826663311</v>
      </c>
      <c r="M248" s="34" cm="1">
        <f t="array" ref="M248:N252">LINEST(L248:L250,K248:K250,FALSE,TRUE)</f>
        <v>1.433097454661769</v>
      </c>
      <c r="N248" s="34">
        <v>0</v>
      </c>
      <c r="O248" s="176">
        <f t="shared" ref="O248" si="116">TINV(0.32,N251)*M249</f>
        <v>2.0559698032539687E-2</v>
      </c>
      <c r="P248" s="179">
        <f>O248*100/M248</f>
        <v>1.4346336298107558</v>
      </c>
      <c r="Q248" s="173">
        <f>-1.99*273*LN(M248)/1000</f>
        <v>-0.19548927390935034</v>
      </c>
      <c r="R248" s="173">
        <f>ABS(1.99*273*O248/M248/1000)</f>
        <v>7.7939341206728933E-3</v>
      </c>
      <c r="S248" s="77"/>
    </row>
    <row r="249" spans="1:19">
      <c r="A249" s="183"/>
      <c r="B249" s="22">
        <v>0.2</v>
      </c>
      <c r="C249" s="22">
        <v>0.2</v>
      </c>
      <c r="D249" s="15">
        <v>1</v>
      </c>
      <c r="E249" s="23">
        <v>1</v>
      </c>
      <c r="F249" s="23">
        <v>0.86899999999999999</v>
      </c>
      <c r="G249" s="23">
        <v>0.318</v>
      </c>
      <c r="H249" s="27">
        <v>0.42199999999999999</v>
      </c>
      <c r="I249" s="24">
        <f t="shared" si="114"/>
        <v>0.75872534142640358</v>
      </c>
      <c r="J249" s="23">
        <f t="shared" si="114"/>
        <v>0.67312161115414415</v>
      </c>
      <c r="K249" s="25">
        <f t="shared" si="115"/>
        <v>0.27611543608031558</v>
      </c>
      <c r="L249" s="25">
        <f t="shared" si="115"/>
        <v>0.39582926558125037</v>
      </c>
      <c r="M249" s="26">
        <v>1.5675537857230113E-2</v>
      </c>
      <c r="N249" s="26" t="e">
        <v>#N/A</v>
      </c>
      <c r="O249" s="177"/>
      <c r="P249" s="180"/>
      <c r="Q249" s="174"/>
      <c r="R249" s="174"/>
      <c r="S249" s="55"/>
    </row>
    <row r="250" spans="1:19">
      <c r="A250" s="183"/>
      <c r="B250" s="22">
        <v>0.2</v>
      </c>
      <c r="C250" s="22">
        <v>0.2</v>
      </c>
      <c r="D250" s="22">
        <v>1.5</v>
      </c>
      <c r="E250" s="23">
        <v>1</v>
      </c>
      <c r="F250" s="23">
        <v>0.80800000000000005</v>
      </c>
      <c r="G250" s="23">
        <v>0.52200000000000002</v>
      </c>
      <c r="H250" s="27">
        <v>0.67700000000000005</v>
      </c>
      <c r="I250" s="24">
        <f t="shared" si="114"/>
        <v>0.65703022339027595</v>
      </c>
      <c r="J250" s="23">
        <f t="shared" si="114"/>
        <v>0.5441077441077441</v>
      </c>
      <c r="K250" s="25">
        <f t="shared" si="115"/>
        <v>0.42002525943949409</v>
      </c>
      <c r="L250" s="25">
        <f t="shared" si="115"/>
        <v>0.60860799271570465</v>
      </c>
      <c r="M250" s="26">
        <v>0.99976076785229018</v>
      </c>
      <c r="N250" s="26">
        <v>8.9105122218186821E-3</v>
      </c>
      <c r="O250" s="177"/>
      <c r="P250" s="180"/>
      <c r="Q250" s="174"/>
      <c r="R250" s="174"/>
      <c r="S250" s="55"/>
    </row>
    <row r="251" spans="1:19">
      <c r="A251" s="183"/>
      <c r="B251" s="45"/>
      <c r="C251" s="45"/>
      <c r="D251" s="45"/>
      <c r="E251" s="46"/>
      <c r="F251" s="46"/>
      <c r="G251" s="46"/>
      <c r="H251" s="46"/>
      <c r="I251" s="46"/>
      <c r="J251" s="46"/>
      <c r="K251" s="47"/>
      <c r="L251" s="47"/>
      <c r="M251" s="26">
        <v>8358.0804454814897</v>
      </c>
      <c r="N251" s="26">
        <v>2</v>
      </c>
      <c r="O251" s="177"/>
      <c r="P251" s="180"/>
      <c r="Q251" s="174"/>
      <c r="R251" s="174"/>
      <c r="S251" s="55"/>
    </row>
    <row r="252" spans="1:19">
      <c r="A252" s="184"/>
      <c r="B252" s="45"/>
      <c r="C252" s="45"/>
      <c r="D252" s="45"/>
      <c r="E252" s="46"/>
      <c r="F252" s="46"/>
      <c r="G252" s="46"/>
      <c r="H252" s="46"/>
      <c r="I252" s="46"/>
      <c r="J252" s="46"/>
      <c r="K252" s="47"/>
      <c r="L252" s="47"/>
      <c r="M252" s="26">
        <v>0.66360841923343528</v>
      </c>
      <c r="N252" s="26">
        <v>1.5879445611036023E-4</v>
      </c>
      <c r="O252" s="177"/>
      <c r="P252" s="181"/>
      <c r="Q252" s="175"/>
      <c r="R252" s="175"/>
      <c r="S252" s="55"/>
    </row>
    <row r="253" spans="1:19" s="19" customFormat="1">
      <c r="A253" s="182" t="s">
        <v>782</v>
      </c>
      <c r="B253" s="30">
        <v>0.2</v>
      </c>
      <c r="C253" s="30">
        <v>0.2</v>
      </c>
      <c r="D253" s="18">
        <v>0.04</v>
      </c>
      <c r="E253" s="31">
        <v>1</v>
      </c>
      <c r="F253" s="31">
        <v>0.92500000000000004</v>
      </c>
      <c r="G253" s="31">
        <v>0.22</v>
      </c>
      <c r="H253" s="32">
        <v>0.27</v>
      </c>
      <c r="I253" s="32">
        <f t="shared" ref="I253:J255" si="117">E253/(E253+G253)</f>
        <v>0.81967213114754101</v>
      </c>
      <c r="J253" s="31">
        <f t="shared" si="117"/>
        <v>0.77405857740585771</v>
      </c>
      <c r="K253" s="33">
        <f t="shared" ref="K253:L255" si="118">-LN(I253)</f>
        <v>0.19885085874516517</v>
      </c>
      <c r="L253" s="33">
        <f t="shared" si="118"/>
        <v>0.25610772685318589</v>
      </c>
      <c r="M253" s="34" cm="1">
        <f t="array" ref="M253:N257">LINEST(L253:L255,K253:K255,FALSE,TRUE)</f>
        <v>1.2940878981860673</v>
      </c>
      <c r="N253" s="34">
        <v>0</v>
      </c>
      <c r="O253" s="176">
        <f t="shared" ref="O253" si="119">TINV(0.32,N256)*M254</f>
        <v>5.34704415368332E-3</v>
      </c>
      <c r="P253" s="179">
        <f>O253*100/M253</f>
        <v>0.41319018292175608</v>
      </c>
      <c r="Q253" s="173">
        <f>-1.99*273*LN(M253)/1000</f>
        <v>-0.14005833150374661</v>
      </c>
      <c r="R253" s="173">
        <f>ABS(1.99*273*O253/M253/1000)</f>
        <v>2.2447383067590245E-3</v>
      </c>
      <c r="S253" s="77"/>
    </row>
    <row r="254" spans="1:19">
      <c r="A254" s="183"/>
      <c r="B254" s="22">
        <v>0.2</v>
      </c>
      <c r="C254" s="22">
        <v>0.2</v>
      </c>
      <c r="D254" s="15">
        <v>0.06</v>
      </c>
      <c r="E254" s="23">
        <v>1</v>
      </c>
      <c r="F254" s="23">
        <v>0.9</v>
      </c>
      <c r="G254" s="23">
        <v>0.31</v>
      </c>
      <c r="H254" s="27">
        <v>0.38</v>
      </c>
      <c r="I254" s="24">
        <f t="shared" si="117"/>
        <v>0.76335877862595414</v>
      </c>
      <c r="J254" s="23">
        <f t="shared" si="117"/>
        <v>0.703125</v>
      </c>
      <c r="K254" s="25">
        <f t="shared" si="118"/>
        <v>0.27002713721306026</v>
      </c>
      <c r="L254" s="25">
        <f t="shared" si="118"/>
        <v>0.35222059358935209</v>
      </c>
      <c r="M254" s="26">
        <v>4.0768007838775655E-3</v>
      </c>
      <c r="N254" s="26" t="e">
        <v>#N/A</v>
      </c>
      <c r="O254" s="177"/>
      <c r="P254" s="180"/>
      <c r="Q254" s="174"/>
      <c r="R254" s="174"/>
      <c r="S254" s="55"/>
    </row>
    <row r="255" spans="1:19">
      <c r="A255" s="183"/>
      <c r="B255" s="22">
        <v>0.2</v>
      </c>
      <c r="C255" s="22">
        <v>0.2</v>
      </c>
      <c r="D255" s="22">
        <v>0.08</v>
      </c>
      <c r="E255" s="23">
        <v>1</v>
      </c>
      <c r="F255" s="23">
        <v>0.86</v>
      </c>
      <c r="G255" s="23">
        <v>0.56999999999999995</v>
      </c>
      <c r="H255" s="27">
        <v>0.68</v>
      </c>
      <c r="I255" s="24">
        <f t="shared" si="117"/>
        <v>0.63694267515923575</v>
      </c>
      <c r="J255" s="23">
        <f t="shared" si="117"/>
        <v>0.55844155844155841</v>
      </c>
      <c r="K255" s="25">
        <f t="shared" si="118"/>
        <v>0.45107561936021656</v>
      </c>
      <c r="L255" s="25">
        <f t="shared" si="118"/>
        <v>0.58260530616012152</v>
      </c>
      <c r="M255" s="26">
        <v>0.99998015126638129</v>
      </c>
      <c r="N255" s="26">
        <v>2.291457746333941E-3</v>
      </c>
      <c r="O255" s="177"/>
      <c r="P255" s="180"/>
      <c r="Q255" s="174"/>
      <c r="R255" s="174"/>
      <c r="S255" s="55"/>
    </row>
    <row r="256" spans="1:19">
      <c r="A256" s="183"/>
      <c r="B256" s="45"/>
      <c r="C256" s="45"/>
      <c r="D256" s="45"/>
      <c r="E256" s="46"/>
      <c r="F256" s="46"/>
      <c r="G256" s="46"/>
      <c r="H256" s="46"/>
      <c r="I256" s="46"/>
      <c r="J256" s="46"/>
      <c r="K256" s="47"/>
      <c r="L256" s="47"/>
      <c r="M256" s="26">
        <v>100760.09588087062</v>
      </c>
      <c r="N256" s="26">
        <v>2</v>
      </c>
      <c r="O256" s="177"/>
      <c r="P256" s="180"/>
      <c r="Q256" s="174"/>
      <c r="R256" s="174"/>
      <c r="S256" s="55"/>
    </row>
    <row r="257" spans="1:19">
      <c r="A257" s="184"/>
      <c r="B257" s="45"/>
      <c r="C257" s="45"/>
      <c r="D257" s="45"/>
      <c r="E257" s="46"/>
      <c r="F257" s="46"/>
      <c r="G257" s="46"/>
      <c r="H257" s="46"/>
      <c r="I257" s="46"/>
      <c r="J257" s="46"/>
      <c r="K257" s="47"/>
      <c r="L257" s="47"/>
      <c r="M257" s="26">
        <v>0.52906895551106403</v>
      </c>
      <c r="N257" s="26">
        <v>1.0501557206467649E-5</v>
      </c>
      <c r="O257" s="177"/>
      <c r="P257" s="181"/>
      <c r="Q257" s="175"/>
      <c r="R257" s="175"/>
      <c r="S257" s="55"/>
    </row>
    <row r="258" spans="1:19" s="19" customFormat="1">
      <c r="A258" s="182" t="s">
        <v>783</v>
      </c>
      <c r="B258" s="30">
        <v>0.2</v>
      </c>
      <c r="C258" s="30">
        <v>0.2</v>
      </c>
      <c r="D258" s="18">
        <v>0.04</v>
      </c>
      <c r="E258" s="31">
        <v>1</v>
      </c>
      <c r="F258" s="31">
        <v>0.98</v>
      </c>
      <c r="G258" s="31">
        <v>0.23</v>
      </c>
      <c r="H258" s="32">
        <v>0.28599999999999998</v>
      </c>
      <c r="I258" s="32">
        <f t="shared" ref="I258:J260" si="120">E258/(E258+G258)</f>
        <v>0.81300813008130079</v>
      </c>
      <c r="J258" s="31">
        <f t="shared" si="120"/>
        <v>0.77409162717219582</v>
      </c>
      <c r="K258" s="33">
        <f t="shared" ref="K258:L260" si="121">-LN(I258)</f>
        <v>0.20701416938432615</v>
      </c>
      <c r="L258" s="33">
        <f t="shared" si="121"/>
        <v>0.25606503103950401</v>
      </c>
      <c r="M258" s="34" cm="1">
        <f t="array" ref="M258:N262">LINEST(L258:L260,K258:K260,FALSE,TRUE)</f>
        <v>1.1963813661451372</v>
      </c>
      <c r="N258" s="34">
        <v>0</v>
      </c>
      <c r="O258" s="176">
        <f t="shared" ref="O258" si="122">TINV(0.32,N261)*M259</f>
        <v>2.2734560936967133E-2</v>
      </c>
      <c r="P258" s="179">
        <f>O258*100/M258</f>
        <v>1.9002770839051271</v>
      </c>
      <c r="Q258" s="173">
        <f>-1.99*273*LN(M258)/1000</f>
        <v>-9.7409111081969355E-2</v>
      </c>
      <c r="R258" s="173">
        <f>ABS(1.99*273*O258/M258/1000)</f>
        <v>1.0323635313731384E-2</v>
      </c>
      <c r="S258" s="77"/>
    </row>
    <row r="259" spans="1:19">
      <c r="A259" s="183"/>
      <c r="B259" s="22">
        <v>0.2</v>
      </c>
      <c r="C259" s="22">
        <v>0.2</v>
      </c>
      <c r="D259" s="15">
        <v>0.08</v>
      </c>
      <c r="E259" s="23">
        <v>1</v>
      </c>
      <c r="F259" s="23">
        <v>0.96099999999999997</v>
      </c>
      <c r="G259" s="23">
        <v>0.39400000000000002</v>
      </c>
      <c r="H259" s="27">
        <v>0.47799999999999998</v>
      </c>
      <c r="I259" s="24">
        <f t="shared" si="120"/>
        <v>0.7173601147776183</v>
      </c>
      <c r="J259" s="23">
        <f t="shared" si="120"/>
        <v>0.66782487838776927</v>
      </c>
      <c r="K259" s="25">
        <f t="shared" si="121"/>
        <v>0.33217731233833225</v>
      </c>
      <c r="L259" s="25">
        <f t="shared" si="121"/>
        <v>0.40372929791707535</v>
      </c>
      <c r="M259" s="26">
        <v>1.7333740508780757E-2</v>
      </c>
      <c r="N259" s="26" t="e">
        <v>#N/A</v>
      </c>
      <c r="O259" s="177"/>
      <c r="P259" s="180"/>
      <c r="Q259" s="174"/>
      <c r="R259" s="174"/>
      <c r="S259" s="55"/>
    </row>
    <row r="260" spans="1:19">
      <c r="A260" s="183"/>
      <c r="B260" s="22">
        <v>0.2</v>
      </c>
      <c r="C260" s="22">
        <v>0.2</v>
      </c>
      <c r="D260" s="22">
        <v>0.12</v>
      </c>
      <c r="E260" s="23">
        <v>1</v>
      </c>
      <c r="F260" s="23">
        <v>0.95599999999999996</v>
      </c>
      <c r="G260" s="23">
        <v>0.51500000000000001</v>
      </c>
      <c r="H260" s="27">
        <v>0.60099999999999998</v>
      </c>
      <c r="I260" s="24">
        <f t="shared" si="120"/>
        <v>0.66006600660066006</v>
      </c>
      <c r="J260" s="23">
        <f t="shared" si="120"/>
        <v>0.6140012845215157</v>
      </c>
      <c r="K260" s="25">
        <f t="shared" si="121"/>
        <v>0.41541543896133248</v>
      </c>
      <c r="L260" s="25">
        <f t="shared" si="121"/>
        <v>0.4877582587825971</v>
      </c>
      <c r="M260" s="26">
        <v>0.99958034441778032</v>
      </c>
      <c r="N260" s="26">
        <v>9.8934003040099961E-3</v>
      </c>
      <c r="O260" s="177"/>
      <c r="P260" s="180"/>
      <c r="Q260" s="174"/>
      <c r="R260" s="174"/>
      <c r="S260" s="55"/>
    </row>
    <row r="261" spans="1:19">
      <c r="A261" s="183"/>
      <c r="B261" s="45"/>
      <c r="C261" s="45"/>
      <c r="D261" s="45"/>
      <c r="E261" s="46"/>
      <c r="F261" s="46"/>
      <c r="G261" s="46"/>
      <c r="H261" s="46"/>
      <c r="I261" s="46"/>
      <c r="J261" s="46"/>
      <c r="K261" s="47"/>
      <c r="L261" s="47"/>
      <c r="M261" s="26">
        <v>4763.8129302644984</v>
      </c>
      <c r="N261" s="26">
        <v>2</v>
      </c>
      <c r="O261" s="177"/>
      <c r="P261" s="180"/>
      <c r="Q261" s="174"/>
      <c r="R261" s="174"/>
      <c r="S261" s="55"/>
    </row>
    <row r="262" spans="1:19">
      <c r="A262" s="184"/>
      <c r="B262" s="45"/>
      <c r="C262" s="45"/>
      <c r="D262" s="45"/>
      <c r="E262" s="46"/>
      <c r="F262" s="46"/>
      <c r="G262" s="46"/>
      <c r="H262" s="46"/>
      <c r="I262" s="46"/>
      <c r="J262" s="46"/>
      <c r="K262" s="47"/>
      <c r="L262" s="47"/>
      <c r="M262" s="26">
        <v>0.46627900638935693</v>
      </c>
      <c r="N262" s="26">
        <v>1.9575873915077014E-4</v>
      </c>
      <c r="O262" s="177"/>
      <c r="P262" s="181"/>
      <c r="Q262" s="175"/>
      <c r="R262" s="175"/>
      <c r="S262" s="55"/>
    </row>
    <row r="263" spans="1:19" s="19" customFormat="1">
      <c r="A263" s="182" t="s">
        <v>784</v>
      </c>
      <c r="B263" s="30">
        <v>0.2</v>
      </c>
      <c r="C263" s="30">
        <v>0.2</v>
      </c>
      <c r="D263" s="18">
        <v>0.04</v>
      </c>
      <c r="E263" s="31">
        <v>1</v>
      </c>
      <c r="F263" s="31">
        <v>0.94</v>
      </c>
      <c r="G263" s="31">
        <v>0.11</v>
      </c>
      <c r="H263" s="32">
        <v>0.12</v>
      </c>
      <c r="I263" s="32">
        <f t="shared" ref="I263:J265" si="123">E263/(E263+G263)</f>
        <v>0.9009009009009008</v>
      </c>
      <c r="J263" s="31">
        <f t="shared" si="123"/>
        <v>0.88679245283018859</v>
      </c>
      <c r="K263" s="33">
        <f t="shared" ref="K263:L265" si="124">-LN(I263)</f>
        <v>0.10436001532424288</v>
      </c>
      <c r="L263" s="33">
        <f t="shared" si="124"/>
        <v>0.12014431184206334</v>
      </c>
      <c r="M263" s="34" cm="1">
        <f t="array" ref="M263:N267">LINEST(L263:L265,K263:K265,FALSE,TRUE)</f>
        <v>1.188448528788723</v>
      </c>
      <c r="N263" s="34">
        <v>0</v>
      </c>
      <c r="O263" s="176">
        <f t="shared" ref="O263" si="125">TINV(0.32,N266)*M264</f>
        <v>1.7051527779937233E-2</v>
      </c>
      <c r="P263" s="179">
        <f>O263*100/M263</f>
        <v>1.4347720887261559</v>
      </c>
      <c r="Q263" s="173">
        <f>-1.99*273*LN(M263)/1000</f>
        <v>-9.3794858799192679E-2</v>
      </c>
      <c r="R263" s="173">
        <f>ABS(1.99*273*O263/M263/1000)</f>
        <v>7.7946863264225881E-3</v>
      </c>
      <c r="S263" s="77"/>
    </row>
    <row r="264" spans="1:19">
      <c r="A264" s="183"/>
      <c r="B264" s="22">
        <v>0.2</v>
      </c>
      <c r="C264" s="22">
        <v>0.2</v>
      </c>
      <c r="D264" s="15">
        <v>0.06</v>
      </c>
      <c r="E264" s="23">
        <v>1</v>
      </c>
      <c r="F264" s="23">
        <v>0.99</v>
      </c>
      <c r="G264" s="23">
        <v>0.16</v>
      </c>
      <c r="H264" s="27">
        <v>0.19</v>
      </c>
      <c r="I264" s="24">
        <f t="shared" si="123"/>
        <v>0.86206896551724144</v>
      </c>
      <c r="J264" s="23">
        <f t="shared" si="123"/>
        <v>0.83898305084745761</v>
      </c>
      <c r="K264" s="25">
        <f t="shared" si="124"/>
        <v>0.14842000511827322</v>
      </c>
      <c r="L264" s="25">
        <f t="shared" si="124"/>
        <v>0.17556477433107484</v>
      </c>
      <c r="M264" s="26">
        <v>1.3000768241584878E-2</v>
      </c>
      <c r="N264" s="26" t="e">
        <v>#N/A</v>
      </c>
      <c r="O264" s="177"/>
      <c r="P264" s="180"/>
      <c r="Q264" s="174"/>
      <c r="R264" s="174"/>
      <c r="S264" s="55"/>
    </row>
    <row r="265" spans="1:19">
      <c r="A265" s="183"/>
      <c r="B265" s="22">
        <v>0.2</v>
      </c>
      <c r="C265" s="22">
        <v>0.2</v>
      </c>
      <c r="D265" s="22">
        <v>0.08</v>
      </c>
      <c r="E265" s="23">
        <v>1</v>
      </c>
      <c r="F265" s="23">
        <v>0.97</v>
      </c>
      <c r="G265" s="23">
        <v>0.21</v>
      </c>
      <c r="H265" s="27">
        <v>0.25</v>
      </c>
      <c r="I265" s="24">
        <f t="shared" si="123"/>
        <v>0.82644628099173556</v>
      </c>
      <c r="J265" s="23">
        <f t="shared" si="123"/>
        <v>0.79508196721311475</v>
      </c>
      <c r="K265" s="25">
        <f t="shared" si="124"/>
        <v>0.1906203596086497</v>
      </c>
      <c r="L265" s="25">
        <f t="shared" si="124"/>
        <v>0.22931006622987374</v>
      </c>
      <c r="M265" s="26">
        <v>0.99976072168371399</v>
      </c>
      <c r="N265" s="26">
        <v>3.4213426044028181E-3</v>
      </c>
      <c r="O265" s="177"/>
      <c r="P265" s="180"/>
      <c r="Q265" s="174"/>
      <c r="R265" s="174"/>
      <c r="S265" s="55"/>
    </row>
    <row r="266" spans="1:19">
      <c r="A266" s="183"/>
      <c r="B266" s="45"/>
      <c r="C266" s="45"/>
      <c r="D266" s="45"/>
      <c r="E266" s="46"/>
      <c r="F266" s="46"/>
      <c r="G266" s="46"/>
      <c r="H266" s="46"/>
      <c r="I266" s="46"/>
      <c r="J266" s="46"/>
      <c r="K266" s="47"/>
      <c r="L266" s="47"/>
      <c r="M266" s="26">
        <v>8356.467374076381</v>
      </c>
      <c r="N266" s="26">
        <v>2</v>
      </c>
      <c r="O266" s="177"/>
      <c r="P266" s="180"/>
      <c r="Q266" s="174"/>
      <c r="R266" s="174"/>
      <c r="S266" s="55"/>
    </row>
    <row r="267" spans="1:19">
      <c r="A267" s="184"/>
      <c r="B267" s="45"/>
      <c r="C267" s="45"/>
      <c r="D267" s="45"/>
      <c r="E267" s="46"/>
      <c r="F267" s="46"/>
      <c r="G267" s="46"/>
      <c r="H267" s="46"/>
      <c r="I267" s="46"/>
      <c r="J267" s="46"/>
      <c r="K267" s="47"/>
      <c r="L267" s="47"/>
      <c r="M267" s="26">
        <v>9.7817340957839879E-2</v>
      </c>
      <c r="N267" s="26">
        <v>2.3411170433403715E-5</v>
      </c>
      <c r="O267" s="177"/>
      <c r="P267" s="181"/>
      <c r="Q267" s="175"/>
      <c r="R267" s="175"/>
      <c r="S267" s="55"/>
    </row>
    <row r="268" spans="1:19" s="19" customFormat="1">
      <c r="A268" s="182" t="s">
        <v>785</v>
      </c>
      <c r="B268" s="30">
        <v>0.2</v>
      </c>
      <c r="C268" s="30">
        <v>0.2</v>
      </c>
      <c r="D268" s="18">
        <v>0.04</v>
      </c>
      <c r="E268" s="31">
        <v>1</v>
      </c>
      <c r="F268" s="31">
        <v>0.87</v>
      </c>
      <c r="G268" s="31">
        <v>0.12</v>
      </c>
      <c r="H268" s="32">
        <v>0.12</v>
      </c>
      <c r="I268" s="32">
        <f t="shared" ref="I268:J270" si="126">E268/(E268+G268)</f>
        <v>0.89285714285714279</v>
      </c>
      <c r="J268" s="31">
        <f t="shared" si="126"/>
        <v>0.87878787878787878</v>
      </c>
      <c r="K268" s="33">
        <f t="shared" ref="K268:L270" si="127">-LN(I268)</f>
        <v>0.11332868530700324</v>
      </c>
      <c r="L268" s="33">
        <f t="shared" si="127"/>
        <v>0.12921173148000623</v>
      </c>
      <c r="M268" s="34" cm="1">
        <f t="array" ref="M268:N272">LINEST(L268:L270,K268:K270,FALSE,TRUE)</f>
        <v>1.1146384827473876</v>
      </c>
      <c r="N268" s="34">
        <v>0</v>
      </c>
      <c r="O268" s="176">
        <f t="shared" ref="O268" si="128">TINV(0.32,N271)*M269</f>
        <v>2.165652425944677E-2</v>
      </c>
      <c r="P268" s="179">
        <f>O268*100/M268</f>
        <v>1.9429191253174078</v>
      </c>
      <c r="Q268" s="173">
        <f>-1.99*273*LN(M268)/1000</f>
        <v>-5.8961159171468512E-2</v>
      </c>
      <c r="R268" s="173">
        <f>ABS(1.99*273*O268/M268/1000)</f>
        <v>1.055529673211188E-2</v>
      </c>
      <c r="S268" s="77"/>
    </row>
    <row r="269" spans="1:19">
      <c r="A269" s="183"/>
      <c r="B269" s="22">
        <v>0.2</v>
      </c>
      <c r="C269" s="22">
        <v>0.2</v>
      </c>
      <c r="D269" s="15">
        <v>0.06</v>
      </c>
      <c r="E269" s="23">
        <v>1</v>
      </c>
      <c r="F269" s="23">
        <v>0.91</v>
      </c>
      <c r="G269" s="23">
        <v>0.19</v>
      </c>
      <c r="H269" s="27">
        <v>0.2</v>
      </c>
      <c r="I269" s="24">
        <f t="shared" si="126"/>
        <v>0.84033613445378152</v>
      </c>
      <c r="J269" s="23">
        <f t="shared" si="126"/>
        <v>0.81981981981981977</v>
      </c>
      <c r="K269" s="25">
        <f t="shared" si="127"/>
        <v>0.17395330712343801</v>
      </c>
      <c r="L269" s="25">
        <f t="shared" si="127"/>
        <v>0.19867069479548416</v>
      </c>
      <c r="M269" s="26">
        <v>1.6511802135794569E-2</v>
      </c>
      <c r="N269" s="26" t="e">
        <v>#N/A</v>
      </c>
      <c r="O269" s="177"/>
      <c r="P269" s="180"/>
      <c r="Q269" s="174"/>
      <c r="R269" s="174"/>
      <c r="S269" s="55"/>
    </row>
    <row r="270" spans="1:19">
      <c r="A270" s="183"/>
      <c r="B270" s="22">
        <v>0.2</v>
      </c>
      <c r="C270" s="22">
        <v>0.2</v>
      </c>
      <c r="D270" s="22">
        <v>0.08</v>
      </c>
      <c r="E270" s="23">
        <v>1</v>
      </c>
      <c r="F270" s="23">
        <v>0.97</v>
      </c>
      <c r="G270" s="23">
        <v>0.27</v>
      </c>
      <c r="H270" s="27">
        <v>0.28999999999999998</v>
      </c>
      <c r="I270" s="24">
        <f t="shared" si="126"/>
        <v>0.78740157480314954</v>
      </c>
      <c r="J270" s="23">
        <f t="shared" si="126"/>
        <v>0.76984126984126977</v>
      </c>
      <c r="K270" s="25">
        <f t="shared" si="127"/>
        <v>0.23901690047049998</v>
      </c>
      <c r="L270" s="25">
        <f t="shared" si="127"/>
        <v>0.26157092844809526</v>
      </c>
      <c r="M270" s="26">
        <v>0.99956130739087745</v>
      </c>
      <c r="N270" s="26">
        <v>5.227549529068942E-3</v>
      </c>
      <c r="O270" s="177"/>
      <c r="P270" s="180"/>
      <c r="Q270" s="174"/>
      <c r="R270" s="174"/>
      <c r="S270" s="55"/>
    </row>
    <row r="271" spans="1:19">
      <c r="A271" s="183"/>
      <c r="B271" s="45"/>
      <c r="C271" s="45"/>
      <c r="D271" s="45"/>
      <c r="E271" s="46"/>
      <c r="F271" s="46"/>
      <c r="G271" s="46"/>
      <c r="H271" s="46"/>
      <c r="I271" s="46"/>
      <c r="J271" s="46"/>
      <c r="K271" s="47"/>
      <c r="L271" s="47"/>
      <c r="M271" s="26">
        <v>4557.0009004270514</v>
      </c>
      <c r="N271" s="26">
        <v>2</v>
      </c>
      <c r="O271" s="177"/>
      <c r="P271" s="180"/>
      <c r="Q271" s="174"/>
      <c r="R271" s="174"/>
      <c r="S271" s="55"/>
    </row>
    <row r="272" spans="1:19">
      <c r="A272" s="184"/>
      <c r="B272" s="45"/>
      <c r="C272" s="45"/>
      <c r="D272" s="45"/>
      <c r="E272" s="46"/>
      <c r="F272" s="46"/>
      <c r="G272" s="46"/>
      <c r="H272" s="46"/>
      <c r="I272" s="46"/>
      <c r="J272" s="46"/>
      <c r="K272" s="47"/>
      <c r="L272" s="47"/>
      <c r="M272" s="26">
        <v>0.12453041258362248</v>
      </c>
      <c r="N272" s="26">
        <v>5.4654548157737831E-5</v>
      </c>
      <c r="O272" s="177"/>
      <c r="P272" s="181"/>
      <c r="Q272" s="175"/>
      <c r="R272" s="175"/>
      <c r="S272" s="55"/>
    </row>
    <row r="273" spans="1:19" s="19" customFormat="1">
      <c r="A273" s="182" t="s">
        <v>786</v>
      </c>
      <c r="B273" s="30">
        <v>0.2</v>
      </c>
      <c r="C273" s="30">
        <v>0.2</v>
      </c>
      <c r="D273" s="18">
        <v>0.04</v>
      </c>
      <c r="E273" s="31">
        <v>1</v>
      </c>
      <c r="F273" s="31">
        <v>1.048</v>
      </c>
      <c r="G273" s="31">
        <v>0.11899999999999999</v>
      </c>
      <c r="H273" s="32">
        <v>0.14099999999999999</v>
      </c>
      <c r="I273" s="32">
        <f t="shared" ref="I273:J275" si="129">E273/(E273+G273)</f>
        <v>0.89365504915102767</v>
      </c>
      <c r="J273" s="31">
        <f t="shared" si="129"/>
        <v>0.88141295206055503</v>
      </c>
      <c r="K273" s="33">
        <f t="shared" ref="K273:L275" si="130">-LN(I273)</f>
        <v>0.11243542932978821</v>
      </c>
      <c r="L273" s="33">
        <f t="shared" si="130"/>
        <v>0.12622903180979442</v>
      </c>
      <c r="M273" s="34" cm="1">
        <f t="array" ref="M273:N277">LINEST(L273:L275,K273:K275,FALSE,TRUE)</f>
        <v>1.1082377517166759</v>
      </c>
      <c r="N273" s="34">
        <v>0</v>
      </c>
      <c r="O273" s="176">
        <f t="shared" ref="O273" si="131">TINV(0.32,N276)*M274</f>
        <v>3.0160201303679156E-3</v>
      </c>
      <c r="P273" s="179">
        <f>O273*100/M273</f>
        <v>0.27214558660324084</v>
      </c>
      <c r="Q273" s="173">
        <f>-1.99*273*LN(M273)/1000</f>
        <v>-5.5832478677398455E-2</v>
      </c>
      <c r="R273" s="173">
        <f>ABS(1.99*273*O273/M273/1000)</f>
        <v>1.4784853283394263E-3</v>
      </c>
      <c r="S273" s="77"/>
    </row>
    <row r="274" spans="1:19">
      <c r="A274" s="183"/>
      <c r="B274" s="22">
        <v>0.2</v>
      </c>
      <c r="C274" s="22">
        <v>0.2</v>
      </c>
      <c r="D274" s="15">
        <v>0.08</v>
      </c>
      <c r="E274" s="23">
        <v>1</v>
      </c>
      <c r="F274" s="23">
        <v>1.034</v>
      </c>
      <c r="G274" s="23">
        <v>0.32600000000000001</v>
      </c>
      <c r="H274" s="27">
        <v>0.379</v>
      </c>
      <c r="I274" s="24">
        <f t="shared" si="129"/>
        <v>0.75414781297134237</v>
      </c>
      <c r="J274" s="23">
        <f t="shared" si="129"/>
        <v>0.73177636234961074</v>
      </c>
      <c r="K274" s="25">
        <f t="shared" si="130"/>
        <v>0.28216689176367077</v>
      </c>
      <c r="L274" s="25">
        <f t="shared" si="130"/>
        <v>0.31228032761615304</v>
      </c>
      <c r="M274" s="26">
        <v>2.2995346360109095E-3</v>
      </c>
      <c r="N274" s="26" t="e">
        <v>#N/A</v>
      </c>
      <c r="O274" s="177"/>
      <c r="P274" s="180"/>
      <c r="Q274" s="174"/>
      <c r="R274" s="174"/>
      <c r="S274" s="55"/>
    </row>
    <row r="275" spans="1:19">
      <c r="A275" s="183"/>
      <c r="B275" s="22">
        <v>0.2</v>
      </c>
      <c r="C275" s="22">
        <v>0.2</v>
      </c>
      <c r="D275" s="22">
        <v>0.12</v>
      </c>
      <c r="E275" s="23">
        <v>1</v>
      </c>
      <c r="F275" s="23">
        <v>1.0209999999999999</v>
      </c>
      <c r="G275" s="23">
        <v>0.52200000000000002</v>
      </c>
      <c r="H275" s="27">
        <v>0.60499999999999998</v>
      </c>
      <c r="I275" s="24">
        <f t="shared" si="129"/>
        <v>0.65703022339027595</v>
      </c>
      <c r="J275" s="23">
        <f t="shared" si="129"/>
        <v>0.62792127921279206</v>
      </c>
      <c r="K275" s="25">
        <f t="shared" si="130"/>
        <v>0.42002525943949409</v>
      </c>
      <c r="L275" s="25">
        <f t="shared" si="130"/>
        <v>0.46534047194309047</v>
      </c>
      <c r="M275" s="26">
        <v>0.99999138926375664</v>
      </c>
      <c r="N275" s="26">
        <v>1.1919513051789116E-3</v>
      </c>
      <c r="O275" s="177"/>
      <c r="P275" s="180"/>
      <c r="Q275" s="174"/>
      <c r="R275" s="174"/>
      <c r="S275" s="55"/>
    </row>
    <row r="276" spans="1:19">
      <c r="A276" s="183"/>
      <c r="B276" s="45"/>
      <c r="C276" s="45"/>
      <c r="D276" s="45"/>
      <c r="E276" s="46"/>
      <c r="F276" s="46"/>
      <c r="G276" s="46"/>
      <c r="H276" s="46"/>
      <c r="I276" s="46"/>
      <c r="J276" s="46"/>
      <c r="K276" s="47"/>
      <c r="L276" s="47"/>
      <c r="M276" s="26">
        <v>232266.17585531314</v>
      </c>
      <c r="N276" s="26">
        <v>2</v>
      </c>
      <c r="O276" s="177"/>
      <c r="P276" s="180"/>
      <c r="Q276" s="174"/>
      <c r="R276" s="174"/>
      <c r="S276" s="55"/>
    </row>
    <row r="277" spans="1:19">
      <c r="A277" s="184"/>
      <c r="B277" s="45"/>
      <c r="C277" s="45"/>
      <c r="D277" s="45"/>
      <c r="E277" s="46"/>
      <c r="F277" s="46"/>
      <c r="G277" s="46"/>
      <c r="H277" s="46"/>
      <c r="I277" s="46"/>
      <c r="J277" s="46"/>
      <c r="K277" s="47"/>
      <c r="L277" s="47"/>
      <c r="M277" s="26">
        <v>0.32999168482008029</v>
      </c>
      <c r="N277" s="26">
        <v>2.8414958278354214E-6</v>
      </c>
      <c r="O277" s="177"/>
      <c r="P277" s="181"/>
      <c r="Q277" s="175"/>
      <c r="R277" s="175"/>
      <c r="S277" s="55"/>
    </row>
    <row r="278" spans="1:19" s="19" customFormat="1">
      <c r="A278" s="182" t="s">
        <v>787</v>
      </c>
      <c r="B278" s="30">
        <v>0.2</v>
      </c>
      <c r="C278" s="30">
        <v>0.2</v>
      </c>
      <c r="D278" s="18">
        <v>0.04</v>
      </c>
      <c r="E278" s="31">
        <v>1</v>
      </c>
      <c r="F278" s="31">
        <v>1.01</v>
      </c>
      <c r="G278" s="31">
        <v>8.3000000000000004E-2</v>
      </c>
      <c r="H278" s="32">
        <v>0.1</v>
      </c>
      <c r="I278" s="32">
        <f t="shared" ref="I278:J282" si="132">E278/(E278+G278)</f>
        <v>0.92336103416435833</v>
      </c>
      <c r="J278" s="31">
        <f t="shared" si="132"/>
        <v>0.90990990990990983</v>
      </c>
      <c r="K278" s="33">
        <f t="shared" ref="K278:L282" si="133">-LN(I278)</f>
        <v>7.9734968018853492E-2</v>
      </c>
      <c r="L278" s="33">
        <f t="shared" si="133"/>
        <v>9.440968447107477E-2</v>
      </c>
      <c r="M278" s="34" cm="1">
        <f t="array" ref="M278:N282">LINEST(L278:L282,K278:K282,FALSE,TRUE)</f>
        <v>1.1022884504095738</v>
      </c>
      <c r="N278" s="34">
        <v>0</v>
      </c>
      <c r="O278" s="176">
        <f t="shared" ref="O278" si="134">TINV(0.32,N281)*M279</f>
        <v>1.2444098232205124E-2</v>
      </c>
      <c r="P278" s="179">
        <f>O278*100/M278</f>
        <v>1.1289330145463568</v>
      </c>
      <c r="Q278" s="173">
        <f>-1.99*273*LN(M278)/1000</f>
        <v>-5.2908211395026723E-2</v>
      </c>
      <c r="R278" s="173">
        <f>ABS(1.99*273*O278/M278/1000)</f>
        <v>6.1331543881259923E-3</v>
      </c>
      <c r="S278" s="77"/>
    </row>
    <row r="279" spans="1:19">
      <c r="A279" s="183"/>
      <c r="B279" s="22">
        <v>0.2</v>
      </c>
      <c r="C279" s="22">
        <v>0.2</v>
      </c>
      <c r="D279" s="15">
        <v>0.08</v>
      </c>
      <c r="E279" s="23">
        <v>1</v>
      </c>
      <c r="F279" s="23">
        <v>1.0449999999999999</v>
      </c>
      <c r="G279" s="23">
        <v>0.11</v>
      </c>
      <c r="H279" s="27">
        <v>0.12</v>
      </c>
      <c r="I279" s="24">
        <f t="shared" si="132"/>
        <v>0.9009009009009008</v>
      </c>
      <c r="J279" s="23">
        <f t="shared" si="132"/>
        <v>0.89699570815450635</v>
      </c>
      <c r="K279" s="25">
        <f t="shared" si="133"/>
        <v>0.10436001532424288</v>
      </c>
      <c r="L279" s="25">
        <f t="shared" si="133"/>
        <v>0.10870420160088966</v>
      </c>
      <c r="M279" s="26">
        <v>1.0969794704636483E-2</v>
      </c>
      <c r="N279" s="26" t="e">
        <v>#N/A</v>
      </c>
      <c r="O279" s="177"/>
      <c r="P279" s="180"/>
      <c r="Q279" s="174"/>
      <c r="R279" s="174"/>
      <c r="S279" s="55"/>
    </row>
    <row r="280" spans="1:19">
      <c r="A280" s="183"/>
      <c r="B280" s="22">
        <v>0.2</v>
      </c>
      <c r="C280" s="22">
        <v>0.2</v>
      </c>
      <c r="D280" s="22">
        <v>0.12</v>
      </c>
      <c r="E280" s="23">
        <v>1</v>
      </c>
      <c r="F280" s="23">
        <v>1.01</v>
      </c>
      <c r="G280" s="23">
        <v>0.26</v>
      </c>
      <c r="H280" s="27">
        <v>0.28999999999999998</v>
      </c>
      <c r="I280" s="24">
        <f t="shared" si="132"/>
        <v>0.79365079365079361</v>
      </c>
      <c r="J280" s="23">
        <f t="shared" si="132"/>
        <v>0.77692307692307694</v>
      </c>
      <c r="K280" s="25">
        <f t="shared" si="133"/>
        <v>0.2311117209633867</v>
      </c>
      <c r="L280" s="25">
        <f t="shared" si="133"/>
        <v>0.25241393361432296</v>
      </c>
      <c r="M280" s="26">
        <v>0.99960400065918587</v>
      </c>
      <c r="N280" s="26">
        <v>5.1401437095428869E-3</v>
      </c>
      <c r="O280" s="177"/>
      <c r="P280" s="180"/>
      <c r="Q280" s="174"/>
      <c r="R280" s="174"/>
      <c r="S280" s="55"/>
    </row>
    <row r="281" spans="1:19">
      <c r="A281" s="183"/>
      <c r="B281" s="22">
        <v>0.2</v>
      </c>
      <c r="C281" s="22">
        <v>0.2</v>
      </c>
      <c r="D281" s="15">
        <v>0.16</v>
      </c>
      <c r="E281" s="23">
        <v>1</v>
      </c>
      <c r="F281" s="27">
        <v>1.05</v>
      </c>
      <c r="G281" s="27">
        <v>0.25</v>
      </c>
      <c r="H281" s="27">
        <v>0.28999999999999998</v>
      </c>
      <c r="I281" s="24">
        <f t="shared" si="132"/>
        <v>0.8</v>
      </c>
      <c r="J281" s="23">
        <f t="shared" si="132"/>
        <v>0.78358208955223885</v>
      </c>
      <c r="K281" s="25">
        <f t="shared" si="133"/>
        <v>0.22314355131420971</v>
      </c>
      <c r="L281" s="25">
        <f t="shared" si="133"/>
        <v>0.24387944979338794</v>
      </c>
      <c r="M281" s="26">
        <v>10097.026915290324</v>
      </c>
      <c r="N281" s="26">
        <v>4</v>
      </c>
      <c r="O281" s="177"/>
      <c r="P281" s="180"/>
      <c r="Q281" s="174"/>
      <c r="R281" s="174"/>
      <c r="S281" s="55"/>
    </row>
    <row r="282" spans="1:19">
      <c r="A282" s="184"/>
      <c r="B282" s="22">
        <v>0.2</v>
      </c>
      <c r="C282" s="22">
        <v>0.2</v>
      </c>
      <c r="D282" s="15">
        <v>0.2</v>
      </c>
      <c r="E282" s="23">
        <v>1</v>
      </c>
      <c r="F282" s="27">
        <v>1</v>
      </c>
      <c r="G282" s="27">
        <v>0.37</v>
      </c>
      <c r="H282" s="27">
        <v>0.42</v>
      </c>
      <c r="I282" s="24">
        <f t="shared" si="132"/>
        <v>0.72992700729927007</v>
      </c>
      <c r="J282" s="23">
        <f t="shared" si="132"/>
        <v>0.70422535211267612</v>
      </c>
      <c r="K282" s="25">
        <f t="shared" si="133"/>
        <v>0.31481073984003355</v>
      </c>
      <c r="L282" s="25">
        <f t="shared" si="133"/>
        <v>0.35065687161316927</v>
      </c>
      <c r="M282" s="26">
        <v>0.26677432918191185</v>
      </c>
      <c r="N282" s="26">
        <v>1.0568430941901325E-4</v>
      </c>
      <c r="O282" s="177"/>
      <c r="P282" s="180"/>
      <c r="Q282" s="174"/>
      <c r="R282" s="174"/>
      <c r="S282" s="55"/>
    </row>
    <row r="283" spans="1:19" s="19" customFormat="1">
      <c r="A283" s="182" t="s">
        <v>788</v>
      </c>
      <c r="B283" s="30">
        <v>0.2</v>
      </c>
      <c r="C283" s="30">
        <v>0.2</v>
      </c>
      <c r="D283" s="18">
        <v>0.04</v>
      </c>
      <c r="E283" s="31">
        <v>1</v>
      </c>
      <c r="F283" s="31">
        <v>1</v>
      </c>
      <c r="G283" s="31">
        <v>0.12</v>
      </c>
      <c r="H283" s="32">
        <v>0.12</v>
      </c>
      <c r="I283" s="32">
        <f t="shared" ref="I283:J285" si="135">E283/(E283+G283)</f>
        <v>0.89285714285714279</v>
      </c>
      <c r="J283" s="31">
        <f t="shared" si="135"/>
        <v>0.89285714285714279</v>
      </c>
      <c r="K283" s="33">
        <f t="shared" ref="K283:L285" si="136">-LN(I283)</f>
        <v>0.11332868530700324</v>
      </c>
      <c r="L283" s="33">
        <f t="shared" si="136"/>
        <v>0.11332868530700324</v>
      </c>
      <c r="M283" s="34" cm="1">
        <f t="array" ref="M283:N287">LINEST(L283:L285,K283:K285,FALSE,TRUE)</f>
        <v>1.0248193013458871</v>
      </c>
      <c r="N283" s="34">
        <v>0</v>
      </c>
      <c r="O283" s="176">
        <f t="shared" ref="O283" si="137">TINV(0.32,N286)*M284</f>
        <v>8.7353259712854413E-3</v>
      </c>
      <c r="P283" s="179">
        <f>O283*100/M283</f>
        <v>0.8523771907704516</v>
      </c>
      <c r="Q283" s="173">
        <f>-1.99*273*LN(M283)/1000</f>
        <v>-1.3318973386423261E-2</v>
      </c>
      <c r="R283" s="173">
        <f>ABS(1.99*273*O283/M283/1000)</f>
        <v>4.6307095642986323E-3</v>
      </c>
      <c r="S283" s="77"/>
    </row>
    <row r="284" spans="1:19">
      <c r="A284" s="183"/>
      <c r="B284" s="22">
        <v>0.2</v>
      </c>
      <c r="C284" s="22">
        <v>0.2</v>
      </c>
      <c r="D284" s="15">
        <v>0.06</v>
      </c>
      <c r="E284" s="23">
        <v>1</v>
      </c>
      <c r="F284" s="23">
        <v>1.02</v>
      </c>
      <c r="G284" s="23">
        <v>0.24</v>
      </c>
      <c r="H284" s="27">
        <v>0.25</v>
      </c>
      <c r="I284" s="24">
        <f t="shared" si="135"/>
        <v>0.80645161290322587</v>
      </c>
      <c r="J284" s="23">
        <f t="shared" si="135"/>
        <v>0.80314960629921262</v>
      </c>
      <c r="K284" s="25">
        <f t="shared" si="136"/>
        <v>0.21511137961694543</v>
      </c>
      <c r="L284" s="25">
        <f t="shared" si="136"/>
        <v>0.21921427317432018</v>
      </c>
      <c r="M284" s="26">
        <v>6.660162651290439E-3</v>
      </c>
      <c r="N284" s="26" t="e">
        <v>#N/A</v>
      </c>
      <c r="O284" s="177"/>
      <c r="P284" s="180"/>
      <c r="Q284" s="174"/>
      <c r="R284" s="174"/>
      <c r="S284" s="55"/>
    </row>
    <row r="285" spans="1:19">
      <c r="A285" s="183"/>
      <c r="B285" s="22">
        <v>0.2</v>
      </c>
      <c r="C285" s="22">
        <v>0.2</v>
      </c>
      <c r="D285" s="22">
        <v>0.08</v>
      </c>
      <c r="E285" s="23">
        <v>1</v>
      </c>
      <c r="F285" s="23">
        <v>1.02</v>
      </c>
      <c r="G285" s="23">
        <v>0.35</v>
      </c>
      <c r="H285" s="27">
        <v>0.37</v>
      </c>
      <c r="I285" s="24">
        <f t="shared" si="135"/>
        <v>0.7407407407407407</v>
      </c>
      <c r="J285" s="23">
        <f t="shared" si="135"/>
        <v>0.73381294964028776</v>
      </c>
      <c r="K285" s="25">
        <f t="shared" si="136"/>
        <v>0.30010459245033816</v>
      </c>
      <c r="L285" s="25">
        <f t="shared" si="136"/>
        <v>0.3095011198464207</v>
      </c>
      <c r="M285" s="26">
        <v>0.99991553663289268</v>
      </c>
      <c r="N285" s="26">
        <v>2.5724016109180989E-3</v>
      </c>
      <c r="O285" s="177"/>
      <c r="P285" s="180"/>
      <c r="Q285" s="174"/>
      <c r="R285" s="174"/>
      <c r="S285" s="55"/>
    </row>
    <row r="286" spans="1:19">
      <c r="A286" s="183"/>
      <c r="B286" s="45"/>
      <c r="C286" s="45"/>
      <c r="D286" s="45"/>
      <c r="E286" s="46"/>
      <c r="F286" s="46"/>
      <c r="G286" s="46"/>
      <c r="H286" s="46"/>
      <c r="I286" s="46"/>
      <c r="J286" s="46"/>
      <c r="K286" s="47"/>
      <c r="L286" s="47"/>
      <c r="M286" s="26">
        <v>23676.904458773159</v>
      </c>
      <c r="N286" s="26">
        <v>2</v>
      </c>
      <c r="O286" s="177"/>
      <c r="P286" s="180"/>
      <c r="Q286" s="174"/>
      <c r="R286" s="174"/>
      <c r="S286" s="55"/>
    </row>
    <row r="287" spans="1:19">
      <c r="A287" s="184"/>
      <c r="B287" s="45"/>
      <c r="C287" s="45"/>
      <c r="D287" s="45"/>
      <c r="E287" s="46"/>
      <c r="F287" s="46"/>
      <c r="G287" s="46"/>
      <c r="H287" s="46"/>
      <c r="I287" s="46"/>
      <c r="J287" s="46"/>
      <c r="K287" s="47"/>
      <c r="L287" s="47"/>
      <c r="M287" s="26">
        <v>0.15667599716285199</v>
      </c>
      <c r="N287" s="26">
        <v>1.3234500095708062E-5</v>
      </c>
      <c r="O287" s="177"/>
      <c r="P287" s="181"/>
      <c r="Q287" s="175"/>
      <c r="R287" s="175"/>
      <c r="S287" s="55"/>
    </row>
    <row r="288" spans="1:19" s="19" customFormat="1" ht="14">
      <c r="A288" s="182" t="s">
        <v>789</v>
      </c>
      <c r="B288" s="30">
        <v>0.2</v>
      </c>
      <c r="C288" s="30">
        <v>0.2</v>
      </c>
      <c r="D288" s="18">
        <v>0.04</v>
      </c>
      <c r="E288" s="31">
        <v>1</v>
      </c>
      <c r="F288" s="31">
        <v>1.01</v>
      </c>
      <c r="G288" s="31">
        <v>0.11</v>
      </c>
      <c r="H288" s="32">
        <v>8.3000000000000004E-2</v>
      </c>
      <c r="I288" s="32">
        <f>E288/(E288+G288)</f>
        <v>0.9009009009009008</v>
      </c>
      <c r="J288" s="31">
        <f>F288/(F288+H288)</f>
        <v>0.92406221408966149</v>
      </c>
      <c r="K288" s="33">
        <f>-LN(I288)</f>
        <v>0.10436001532424288</v>
      </c>
      <c r="L288" s="33">
        <f>-LN(J288)</f>
        <v>7.8975878341233416E-2</v>
      </c>
      <c r="M288" s="34" cm="1">
        <f t="array" ref="M288:N292">LINEST(L288:L289,K288:K289,FALSE,TRUE)</f>
        <v>0.74569677579193772</v>
      </c>
      <c r="N288" s="34">
        <v>0</v>
      </c>
      <c r="O288" s="176">
        <f t="shared" ref="O288" si="138">TINV(0.32,N291)*M289</f>
        <v>1.7189408244876376E-2</v>
      </c>
      <c r="P288" s="179">
        <f>O288*100/M288</f>
        <v>2.3051471862166824</v>
      </c>
      <c r="Q288" s="173">
        <f>-1.99*273*LN(M288)/1000</f>
        <v>0.15941509968075374</v>
      </c>
      <c r="R288" s="173">
        <f>ABS(1.99*273*O288/M288/1000)</f>
        <v>1.2523173118559371E-2</v>
      </c>
      <c r="S288" s="73"/>
    </row>
    <row r="289" spans="1:32" ht="14">
      <c r="A289" s="183"/>
      <c r="B289" s="22">
        <v>0.2</v>
      </c>
      <c r="C289" s="22">
        <v>0.2</v>
      </c>
      <c r="D289" s="15">
        <v>0.06</v>
      </c>
      <c r="E289" s="23">
        <v>1</v>
      </c>
      <c r="F289" s="23">
        <v>1.06</v>
      </c>
      <c r="G289" s="23">
        <v>0.13</v>
      </c>
      <c r="H289" s="27">
        <v>0.1</v>
      </c>
      <c r="I289" s="24">
        <f>E289/(E289+G289)</f>
        <v>0.88495575221238942</v>
      </c>
      <c r="J289" s="23">
        <f>F289/(F289+H289)</f>
        <v>0.9137931034482758</v>
      </c>
      <c r="K289" s="25">
        <f>-LN(I289)</f>
        <v>0.12221763272424915</v>
      </c>
      <c r="L289" s="25">
        <f>-LN(J289)</f>
        <v>9.0151096994297575E-2</v>
      </c>
      <c r="M289" s="26">
        <v>9.4499571510615471E-3</v>
      </c>
      <c r="N289" s="26" t="e">
        <v>#N/A</v>
      </c>
      <c r="O289" s="177"/>
      <c r="P289" s="180"/>
      <c r="Q289" s="174"/>
      <c r="R289" s="174"/>
      <c r="S289" s="74"/>
    </row>
    <row r="290" spans="1:32">
      <c r="A290" s="183"/>
      <c r="B290" s="61"/>
      <c r="C290" s="61"/>
      <c r="D290" s="61"/>
      <c r="E290" s="62"/>
      <c r="F290" s="62"/>
      <c r="G290" s="62"/>
      <c r="H290" s="46"/>
      <c r="I290" s="63"/>
      <c r="J290" s="62"/>
      <c r="K290" s="64"/>
      <c r="L290" s="64"/>
      <c r="M290" s="26">
        <v>0.99983942963021355</v>
      </c>
      <c r="N290" s="26">
        <v>1.5187160923331583E-3</v>
      </c>
      <c r="O290" s="177"/>
      <c r="P290" s="180"/>
      <c r="Q290" s="174"/>
      <c r="R290" s="174"/>
      <c r="S290" s="55"/>
    </row>
    <row r="291" spans="1:32">
      <c r="A291" s="183"/>
      <c r="B291" s="45"/>
      <c r="C291" s="45"/>
      <c r="D291" s="45"/>
      <c r="E291" s="46"/>
      <c r="F291" s="46"/>
      <c r="G291" s="46"/>
      <c r="H291" s="46"/>
      <c r="I291" s="46"/>
      <c r="J291" s="46"/>
      <c r="K291" s="47"/>
      <c r="L291" s="47"/>
      <c r="M291" s="26">
        <v>6226.7990723301054</v>
      </c>
      <c r="N291" s="26">
        <v>1</v>
      </c>
      <c r="O291" s="177"/>
      <c r="P291" s="180"/>
      <c r="Q291" s="174"/>
      <c r="R291" s="174"/>
      <c r="S291" s="55"/>
    </row>
    <row r="292" spans="1:32">
      <c r="A292" s="184"/>
      <c r="B292" s="42"/>
      <c r="C292" s="42"/>
      <c r="D292" s="42"/>
      <c r="E292" s="43"/>
      <c r="F292" s="43"/>
      <c r="G292" s="43"/>
      <c r="H292" s="43"/>
      <c r="I292" s="43"/>
      <c r="J292" s="43"/>
      <c r="K292" s="44"/>
      <c r="L292" s="44"/>
      <c r="M292" s="26">
        <v>1.4362103150475439E-2</v>
      </c>
      <c r="N292" s="26">
        <v>2.3064985691116983E-6</v>
      </c>
      <c r="O292" s="177"/>
      <c r="P292" s="181"/>
      <c r="Q292" s="175"/>
      <c r="R292" s="175"/>
      <c r="S292" s="55"/>
    </row>
    <row r="293" spans="1:32" s="19" customFormat="1">
      <c r="A293" s="182" t="s">
        <v>790</v>
      </c>
      <c r="B293" s="30">
        <v>0.2</v>
      </c>
      <c r="C293" s="30">
        <v>0.2</v>
      </c>
      <c r="D293" s="18">
        <v>0.04</v>
      </c>
      <c r="E293" s="31">
        <v>1</v>
      </c>
      <c r="F293" s="31">
        <v>1.0589999999999999</v>
      </c>
      <c r="G293" s="31">
        <v>0.187</v>
      </c>
      <c r="H293" s="32">
        <v>0.13900000000000001</v>
      </c>
      <c r="I293" s="32">
        <f t="shared" ref="I293:J295" si="139">E293/(E293+G293)</f>
        <v>0.84245998315080028</v>
      </c>
      <c r="J293" s="31">
        <f t="shared" si="139"/>
        <v>0.88397328881469117</v>
      </c>
      <c r="K293" s="33">
        <f t="shared" ref="K293:L295" si="140">-LN(I293)</f>
        <v>0.17142911562753105</v>
      </c>
      <c r="L293" s="33">
        <f t="shared" si="140"/>
        <v>0.12332843307398818</v>
      </c>
      <c r="M293" s="34" cm="1">
        <f t="array" ref="M293:N297">LINEST(L293:L295,K293:K295,FALSE,TRUE)</f>
        <v>0.7345476173487121</v>
      </c>
      <c r="N293" s="34">
        <v>0</v>
      </c>
      <c r="O293" s="176">
        <f t="shared" ref="O293" si="141">TINV(0.32,N296)*M294</f>
        <v>8.3054124700289028E-3</v>
      </c>
      <c r="P293" s="179">
        <f>O293*100/M293</f>
        <v>1.13068401201907</v>
      </c>
      <c r="Q293" s="173">
        <f>-1.99*273*LN(M293)/1000</f>
        <v>0.16759904265469597</v>
      </c>
      <c r="R293" s="173">
        <f>ABS(1.99*273*O293/M293/1000)</f>
        <v>6.1426670320960004E-3</v>
      </c>
      <c r="S293" s="77"/>
    </row>
    <row r="294" spans="1:32">
      <c r="A294" s="183"/>
      <c r="B294" s="22">
        <v>0.2</v>
      </c>
      <c r="C294" s="22">
        <v>0.2</v>
      </c>
      <c r="D294" s="15">
        <v>0.08</v>
      </c>
      <c r="E294" s="23">
        <v>1</v>
      </c>
      <c r="F294" s="23">
        <v>1.119</v>
      </c>
      <c r="G294" s="23">
        <v>0.41599999999999998</v>
      </c>
      <c r="H294" s="27">
        <v>0.31900000000000001</v>
      </c>
      <c r="I294" s="24">
        <f t="shared" si="139"/>
        <v>0.70621468926553677</v>
      </c>
      <c r="J294" s="23">
        <f t="shared" si="139"/>
        <v>0.77816411682892905</v>
      </c>
      <c r="K294" s="25">
        <f t="shared" si="140"/>
        <v>0.34783599527152798</v>
      </c>
      <c r="L294" s="25">
        <f t="shared" si="140"/>
        <v>0.25081782996906676</v>
      </c>
      <c r="M294" s="26">
        <v>6.3323793660682894E-3</v>
      </c>
      <c r="N294" s="26" t="e">
        <v>#N/A</v>
      </c>
      <c r="O294" s="177"/>
      <c r="P294" s="180"/>
      <c r="Q294" s="174"/>
      <c r="R294" s="174"/>
      <c r="S294" s="55"/>
    </row>
    <row r="295" spans="1:32">
      <c r="A295" s="183"/>
      <c r="B295" s="22">
        <v>0.2</v>
      </c>
      <c r="C295" s="22">
        <v>0.2</v>
      </c>
      <c r="D295" s="22">
        <v>0.12</v>
      </c>
      <c r="E295" s="23">
        <v>1</v>
      </c>
      <c r="F295" s="23">
        <v>1.218</v>
      </c>
      <c r="G295" s="23">
        <v>0.81799999999999995</v>
      </c>
      <c r="H295" s="27">
        <v>0.67800000000000005</v>
      </c>
      <c r="I295" s="24">
        <f t="shared" si="139"/>
        <v>0.55005500550055009</v>
      </c>
      <c r="J295" s="23">
        <f t="shared" si="139"/>
        <v>0.64240506329113922</v>
      </c>
      <c r="K295" s="25">
        <f t="shared" si="140"/>
        <v>0.59773699575528705</v>
      </c>
      <c r="L295" s="25">
        <f t="shared" si="140"/>
        <v>0.44253623454512481</v>
      </c>
      <c r="M295" s="26">
        <v>0.99985138611408553</v>
      </c>
      <c r="N295" s="26">
        <v>4.5118695679029746E-3</v>
      </c>
      <c r="O295" s="177"/>
      <c r="P295" s="180"/>
      <c r="Q295" s="174"/>
      <c r="R295" s="174"/>
      <c r="S295" s="55"/>
    </row>
    <row r="296" spans="1:32">
      <c r="A296" s="183"/>
      <c r="B296" s="45"/>
      <c r="C296" s="45"/>
      <c r="D296" s="45"/>
      <c r="E296" s="46"/>
      <c r="F296" s="46"/>
      <c r="G296" s="46"/>
      <c r="H296" s="46"/>
      <c r="I296" s="46"/>
      <c r="J296" s="46"/>
      <c r="K296" s="47"/>
      <c r="L296" s="47"/>
      <c r="M296" s="26">
        <v>13455.692648923541</v>
      </c>
      <c r="N296" s="26">
        <v>2</v>
      </c>
      <c r="O296" s="177"/>
      <c r="P296" s="180"/>
      <c r="Q296" s="174"/>
      <c r="R296" s="174"/>
      <c r="S296" s="55"/>
    </row>
    <row r="297" spans="1:32">
      <c r="A297" s="184"/>
      <c r="B297" s="45"/>
      <c r="C297" s="45"/>
      <c r="D297" s="45"/>
      <c r="E297" s="46"/>
      <c r="F297" s="46"/>
      <c r="G297" s="46"/>
      <c r="H297" s="46"/>
      <c r="I297" s="46"/>
      <c r="J297" s="46"/>
      <c r="K297" s="47"/>
      <c r="L297" s="47"/>
      <c r="M297" s="26">
        <v>0.27391709118625907</v>
      </c>
      <c r="N297" s="26">
        <v>4.0713933995537942E-5</v>
      </c>
      <c r="O297" s="177"/>
      <c r="P297" s="181"/>
      <c r="Q297" s="175"/>
      <c r="R297" s="175"/>
      <c r="S297" s="55"/>
    </row>
    <row r="298" spans="1:32" s="19" customFormat="1">
      <c r="A298" s="182" t="s">
        <v>791</v>
      </c>
      <c r="B298" s="30">
        <v>0.2</v>
      </c>
      <c r="C298" s="30">
        <v>0.2</v>
      </c>
      <c r="D298" s="18">
        <v>0.04</v>
      </c>
      <c r="E298" s="31">
        <v>1</v>
      </c>
      <c r="F298" s="31">
        <v>0.93</v>
      </c>
      <c r="G298" s="31">
        <v>5.3999999999999999E-2</v>
      </c>
      <c r="H298" s="32">
        <v>0.06</v>
      </c>
      <c r="I298" s="32">
        <f t="shared" ref="I298:J300" si="142">E298/(E298+G298)</f>
        <v>0.94876660341555974</v>
      </c>
      <c r="J298" s="31">
        <f t="shared" si="142"/>
        <v>0.93939393939393945</v>
      </c>
      <c r="K298" s="33">
        <f t="shared" ref="K298:L300" si="143">-LN(I298)</f>
        <v>5.2592450119170617E-2</v>
      </c>
      <c r="L298" s="33">
        <f t="shared" si="143"/>
        <v>6.252035698133393E-2</v>
      </c>
      <c r="M298" s="34" cm="1">
        <f t="array" ref="M298:N302">LINEST(L298:L300,K298:K300,FALSE,TRUE)</f>
        <v>0.71774590553656514</v>
      </c>
      <c r="N298" s="34">
        <v>0</v>
      </c>
      <c r="O298" s="176">
        <f t="shared" ref="O298" si="144">TINV(0.32,N301)*M299</f>
        <v>7.848646728248794E-2</v>
      </c>
      <c r="P298" s="179">
        <f>O298*100/M298</f>
        <v>10.935132708812018</v>
      </c>
      <c r="Q298" s="173">
        <f>-1.99*273*LN(M298)/1000</f>
        <v>0.18016988057573716</v>
      </c>
      <c r="R298" s="173">
        <f>ABS(1.99*273*O298/M298/1000)</f>
        <v>5.940729546716305E-2</v>
      </c>
      <c r="S298" s="77"/>
    </row>
    <row r="299" spans="1:32">
      <c r="A299" s="183" t="s">
        <v>792</v>
      </c>
      <c r="B299" s="22">
        <v>0.2</v>
      </c>
      <c r="C299" s="22">
        <v>0.2</v>
      </c>
      <c r="D299" s="15">
        <v>0.06</v>
      </c>
      <c r="E299" s="23">
        <v>1</v>
      </c>
      <c r="F299" s="23">
        <v>1.04</v>
      </c>
      <c r="G299" s="23">
        <v>0.23</v>
      </c>
      <c r="H299" s="27">
        <v>0.24</v>
      </c>
      <c r="I299" s="24">
        <f t="shared" si="142"/>
        <v>0.81300813008130079</v>
      </c>
      <c r="J299" s="23">
        <f t="shared" si="142"/>
        <v>0.8125</v>
      </c>
      <c r="K299" s="25">
        <f t="shared" si="143"/>
        <v>0.20701416938432615</v>
      </c>
      <c r="L299" s="25">
        <f t="shared" si="143"/>
        <v>0.20763936477824449</v>
      </c>
      <c r="M299" s="26">
        <v>5.9841228563750189E-2</v>
      </c>
      <c r="N299" s="26" t="e">
        <v>#N/A</v>
      </c>
      <c r="O299" s="177"/>
      <c r="P299" s="180"/>
      <c r="Q299" s="174"/>
      <c r="R299" s="174"/>
      <c r="S299" s="55"/>
    </row>
    <row r="300" spans="1:32" ht="14">
      <c r="A300" s="183" t="s">
        <v>793</v>
      </c>
      <c r="B300" s="22">
        <v>0.2</v>
      </c>
      <c r="C300" s="22">
        <v>0.2</v>
      </c>
      <c r="D300" s="22">
        <v>0.08</v>
      </c>
      <c r="E300" s="23">
        <v>1</v>
      </c>
      <c r="F300" s="23">
        <v>1.42</v>
      </c>
      <c r="G300" s="23">
        <v>1.1299999999999999</v>
      </c>
      <c r="H300" s="27">
        <v>0.98</v>
      </c>
      <c r="I300" s="24">
        <f t="shared" si="142"/>
        <v>0.46948356807511737</v>
      </c>
      <c r="J300" s="23">
        <f t="shared" si="142"/>
        <v>0.59166666666666667</v>
      </c>
      <c r="K300" s="25">
        <f t="shared" si="143"/>
        <v>0.75612197972133377</v>
      </c>
      <c r="L300" s="25">
        <f t="shared" si="143"/>
        <v>0.52481186574073058</v>
      </c>
      <c r="M300" s="26">
        <v>0.9862882336973805</v>
      </c>
      <c r="N300" s="26">
        <v>4.7017892679590438E-2</v>
      </c>
      <c r="O300" s="177"/>
      <c r="P300" s="180"/>
      <c r="Q300" s="174"/>
      <c r="R300" s="174"/>
      <c r="S300" s="74"/>
    </row>
    <row r="301" spans="1:32">
      <c r="A301" s="183"/>
      <c r="B301" s="61"/>
      <c r="C301" s="61"/>
      <c r="D301" s="61"/>
      <c r="E301" s="62"/>
      <c r="F301" s="62"/>
      <c r="G301" s="62"/>
      <c r="H301" s="46"/>
      <c r="I301" s="63"/>
      <c r="J301" s="62"/>
      <c r="K301" s="64"/>
      <c r="L301" s="64"/>
      <c r="M301" s="26">
        <v>143.8601288747104</v>
      </c>
      <c r="N301" s="26">
        <v>2</v>
      </c>
      <c r="O301" s="177"/>
      <c r="P301" s="180"/>
      <c r="Q301" s="174"/>
      <c r="R301" s="174"/>
      <c r="S301" s="55"/>
      <c r="T301" s="15"/>
      <c r="U301" s="15"/>
      <c r="V301" s="27"/>
      <c r="W301" s="27"/>
      <c r="X301" s="27"/>
      <c r="Y301" s="27"/>
      <c r="Z301" s="27"/>
      <c r="AA301" s="27"/>
      <c r="AB301" s="51"/>
      <c r="AC301" s="51"/>
      <c r="AD301" s="21"/>
      <c r="AE301" s="15"/>
      <c r="AF301" s="15"/>
    </row>
    <row r="302" spans="1:32">
      <c r="A302" s="196"/>
      <c r="B302" s="45"/>
      <c r="C302" s="45"/>
      <c r="D302" s="45"/>
      <c r="E302" s="46"/>
      <c r="F302" s="46"/>
      <c r="G302" s="46"/>
      <c r="H302" s="46"/>
      <c r="I302" s="46"/>
      <c r="J302" s="46"/>
      <c r="K302" s="47"/>
      <c r="L302" s="47"/>
      <c r="M302" s="26">
        <v>0.31802903080079398</v>
      </c>
      <c r="N302" s="26">
        <v>4.421364464058968E-3</v>
      </c>
      <c r="O302" s="177"/>
      <c r="P302" s="180"/>
      <c r="Q302" s="174"/>
      <c r="R302" s="174"/>
      <c r="S302" s="55"/>
      <c r="T302" s="15"/>
      <c r="U302" s="15"/>
      <c r="V302" s="27"/>
      <c r="W302" s="27"/>
      <c r="X302" s="27"/>
      <c r="Y302" s="27"/>
      <c r="Z302" s="27"/>
      <c r="AA302" s="27"/>
      <c r="AB302" s="51"/>
      <c r="AC302" s="51"/>
      <c r="AD302" s="21"/>
      <c r="AE302" s="15"/>
      <c r="AF302" s="15"/>
    </row>
    <row r="303" spans="1:32" s="38" customFormat="1">
      <c r="A303" s="92" t="s">
        <v>794</v>
      </c>
      <c r="B303" s="35"/>
      <c r="C303" s="35"/>
      <c r="D303" s="35"/>
      <c r="E303" s="36"/>
      <c r="F303" s="36"/>
      <c r="G303" s="36"/>
      <c r="H303" s="36"/>
      <c r="I303" s="36"/>
      <c r="J303" s="36"/>
      <c r="K303" s="37"/>
      <c r="L303" s="37"/>
      <c r="M303" s="52">
        <f>M298*2*0.57/(0.41+0.57)</f>
        <v>0.8349289105221267</v>
      </c>
      <c r="N303" s="54"/>
      <c r="O303" s="39">
        <f>O298*2*0.57/(0.41+0.57)</f>
        <v>9.1300584389832906E-2</v>
      </c>
      <c r="P303" s="40">
        <f>O298*100/M298</f>
        <v>10.935132708812018</v>
      </c>
      <c r="Q303" s="41">
        <f>-1.99*273*LN(M303)/1000</f>
        <v>9.801063165382129E-2</v>
      </c>
      <c r="R303" s="41">
        <f>ABS(1.99*273*O303/M303/1000)</f>
        <v>5.940729546716305E-2</v>
      </c>
      <c r="S303" s="75"/>
      <c r="T303" s="41"/>
      <c r="U303" s="41"/>
      <c r="V303" s="56"/>
      <c r="W303" s="56"/>
      <c r="X303" s="56"/>
      <c r="Y303" s="56"/>
      <c r="Z303" s="56"/>
      <c r="AA303" s="56"/>
      <c r="AB303" s="57"/>
      <c r="AC303" s="57"/>
      <c r="AD303" s="59"/>
      <c r="AE303" s="41"/>
      <c r="AF303" s="41"/>
    </row>
    <row r="304" spans="1:32">
      <c r="A304" s="91" t="s">
        <v>795</v>
      </c>
      <c r="B304" s="42"/>
      <c r="C304" s="42"/>
      <c r="D304" s="42"/>
      <c r="E304" s="43"/>
      <c r="F304" s="43"/>
      <c r="G304" s="43"/>
      <c r="H304" s="43"/>
      <c r="I304" s="43"/>
      <c r="J304" s="43"/>
      <c r="K304" s="44"/>
      <c r="L304" s="44"/>
      <c r="M304" s="60">
        <f>M298*2*0.41/(0.41+0.57)</f>
        <v>0.60056290055100348</v>
      </c>
      <c r="N304" s="53"/>
      <c r="O304" s="13">
        <f>O298*2*0.41/(0.41+0.57)</f>
        <v>6.5672350175142974E-2</v>
      </c>
      <c r="P304" s="14">
        <f>O298*100/M298</f>
        <v>10.935132708812018</v>
      </c>
      <c r="Q304" s="15">
        <f>-1.99*273*LN(M304)/1000</f>
        <v>0.27700679725184801</v>
      </c>
      <c r="R304" s="15">
        <f>ABS(1.99*273*O304/M304/1000)</f>
        <v>5.9407295467163043E-2</v>
      </c>
      <c r="S304" s="55"/>
      <c r="T304" s="15"/>
      <c r="U304" s="15"/>
      <c r="V304" s="27"/>
      <c r="W304" s="27"/>
      <c r="X304" s="27"/>
      <c r="Y304" s="27"/>
      <c r="Z304" s="27"/>
      <c r="AA304" s="27"/>
      <c r="AB304" s="51"/>
      <c r="AC304" s="51"/>
      <c r="AD304" s="21"/>
      <c r="AE304" s="15"/>
      <c r="AF304" s="15"/>
    </row>
    <row r="305" spans="1:19" s="19" customFormat="1">
      <c r="A305" s="182" t="s">
        <v>796</v>
      </c>
      <c r="B305" s="30">
        <v>0.2</v>
      </c>
      <c r="C305" s="30">
        <v>0.2</v>
      </c>
      <c r="D305" s="18">
        <v>0.04</v>
      </c>
      <c r="E305" s="31">
        <v>1</v>
      </c>
      <c r="F305" s="31">
        <v>1.1299999999999999</v>
      </c>
      <c r="G305" s="31">
        <v>0.11</v>
      </c>
      <c r="H305" s="32">
        <v>9.2999999999999999E-2</v>
      </c>
      <c r="I305" s="32">
        <f t="shared" ref="I305:J307" si="145">E305/(E305+G305)</f>
        <v>0.9009009009009008</v>
      </c>
      <c r="J305" s="31">
        <f t="shared" si="145"/>
        <v>0.92395748160261648</v>
      </c>
      <c r="K305" s="33">
        <f>-LN(I305)</f>
        <v>0.10436001532424288</v>
      </c>
      <c r="L305" s="33">
        <f t="shared" ref="L305:L307" si="146">-LN(J305)</f>
        <v>7.9089223980786147E-2</v>
      </c>
      <c r="M305" s="34" cm="1">
        <f t="array" ref="M305:N309">LINEST(L305:L307,K305:K307,FALSE,TRUE)</f>
        <v>0.67613050768620941</v>
      </c>
      <c r="N305" s="34">
        <v>0</v>
      </c>
      <c r="O305" s="176">
        <f>_xlfn.T.INV.2T(0.32,N308)*M306</f>
        <v>2.7894594066100138E-2</v>
      </c>
      <c r="P305" s="179">
        <f>O305*100/M305</f>
        <v>4.1256227531513714</v>
      </c>
      <c r="Q305" s="173">
        <f>-1.99*273*LN(M305)/1000</f>
        <v>0.21261912510977535</v>
      </c>
      <c r="R305" s="173">
        <f>ABS(1.99*273*O305/M305/1000)</f>
        <v>2.2413270731045456E-2</v>
      </c>
      <c r="S305" s="77"/>
    </row>
    <row r="306" spans="1:19">
      <c r="A306" s="183" t="s">
        <v>797</v>
      </c>
      <c r="B306" s="22">
        <v>0.2</v>
      </c>
      <c r="C306" s="22">
        <v>0.2</v>
      </c>
      <c r="D306" s="15">
        <v>0.08</v>
      </c>
      <c r="E306" s="23">
        <v>1</v>
      </c>
      <c r="F306" s="23">
        <v>1.18</v>
      </c>
      <c r="G306" s="23">
        <v>0.22</v>
      </c>
      <c r="H306" s="27">
        <v>0.18</v>
      </c>
      <c r="I306" s="24">
        <f t="shared" si="145"/>
        <v>0.81967213114754101</v>
      </c>
      <c r="J306" s="23">
        <f t="shared" si="145"/>
        <v>0.86764705882352944</v>
      </c>
      <c r="K306" s="25">
        <f>-LN(I306)</f>
        <v>0.19885085874516517</v>
      </c>
      <c r="L306" s="25">
        <f t="shared" si="146"/>
        <v>0.14197026127038723</v>
      </c>
      <c r="M306" s="26">
        <v>2.1267956591734302E-2</v>
      </c>
      <c r="N306" s="26" t="e">
        <v>#N/A</v>
      </c>
      <c r="O306" s="177"/>
      <c r="P306" s="180"/>
      <c r="Q306" s="174"/>
      <c r="R306" s="174"/>
      <c r="S306" s="55"/>
    </row>
    <row r="307" spans="1:19">
      <c r="A307" s="183" t="s">
        <v>798</v>
      </c>
      <c r="B307" s="22">
        <v>0.2</v>
      </c>
      <c r="C307" s="22">
        <v>0.2</v>
      </c>
      <c r="D307" s="22">
        <v>0.12</v>
      </c>
      <c r="E307" s="23">
        <v>1</v>
      </c>
      <c r="F307" s="23">
        <v>1.37</v>
      </c>
      <c r="G307" s="23">
        <v>0.45</v>
      </c>
      <c r="H307" s="27">
        <v>0.38</v>
      </c>
      <c r="I307" s="24">
        <f t="shared" si="145"/>
        <v>0.68965517241379315</v>
      </c>
      <c r="J307" s="23">
        <f t="shared" si="145"/>
        <v>0.78285714285714292</v>
      </c>
      <c r="K307" s="25">
        <f>-LN(I307)</f>
        <v>0.37156355643248296</v>
      </c>
      <c r="L307" s="25">
        <f t="shared" si="146"/>
        <v>0.24480504809538906</v>
      </c>
      <c r="M307" s="26">
        <v>0.9980250236819771</v>
      </c>
      <c r="N307" s="26">
        <v>9.2336286206974438E-3</v>
      </c>
      <c r="O307" s="177"/>
      <c r="P307" s="180"/>
      <c r="Q307" s="174"/>
      <c r="R307" s="174"/>
      <c r="S307" s="55"/>
    </row>
    <row r="308" spans="1:19">
      <c r="A308" s="183"/>
      <c r="B308" s="45"/>
      <c r="C308" s="45"/>
      <c r="D308" s="45"/>
      <c r="E308" s="46"/>
      <c r="F308" s="46"/>
      <c r="G308" s="46"/>
      <c r="H308" s="46"/>
      <c r="I308" s="46"/>
      <c r="J308" s="46"/>
      <c r="K308" s="47"/>
      <c r="L308" s="47"/>
      <c r="M308" s="26">
        <v>1010.6703706513939</v>
      </c>
      <c r="N308" s="26">
        <v>2</v>
      </c>
      <c r="O308" s="177"/>
      <c r="P308" s="180"/>
      <c r="Q308" s="174"/>
      <c r="R308" s="174"/>
      <c r="S308" s="55"/>
    </row>
    <row r="309" spans="1:19">
      <c r="A309" s="184"/>
      <c r="B309" s="45"/>
      <c r="C309" s="45"/>
      <c r="D309" s="45"/>
      <c r="E309" s="46"/>
      <c r="F309" s="46"/>
      <c r="G309" s="46"/>
      <c r="H309" s="46"/>
      <c r="I309" s="46"/>
      <c r="J309" s="46"/>
      <c r="K309" s="47"/>
      <c r="L309" s="47"/>
      <c r="M309" s="26">
        <v>8.6169652213040793E-2</v>
      </c>
      <c r="N309" s="26">
        <v>1.7051979500992597E-4</v>
      </c>
      <c r="O309" s="178"/>
      <c r="P309" s="181"/>
      <c r="Q309" s="175"/>
      <c r="R309" s="175"/>
      <c r="S309" s="55"/>
    </row>
    <row r="310" spans="1:19" s="19" customFormat="1">
      <c r="A310" s="182" t="s">
        <v>799</v>
      </c>
      <c r="B310" s="30">
        <v>0.2</v>
      </c>
      <c r="C310" s="30">
        <v>0.2</v>
      </c>
      <c r="D310" s="18">
        <v>0.04</v>
      </c>
      <c r="E310" s="31">
        <v>1</v>
      </c>
      <c r="F310" s="31">
        <v>1.05</v>
      </c>
      <c r="G310" s="31">
        <v>0.28999999999999998</v>
      </c>
      <c r="H310" s="32">
        <v>0.17</v>
      </c>
      <c r="I310" s="32">
        <f t="shared" ref="I310:J312" si="147">E310/(E310+G310)</f>
        <v>0.77519379844961234</v>
      </c>
      <c r="J310" s="31">
        <f t="shared" si="147"/>
        <v>0.8606557377049181</v>
      </c>
      <c r="K310" s="33">
        <f>-LN(I310)</f>
        <v>0.25464221837358081</v>
      </c>
      <c r="L310" s="33">
        <f t="shared" ref="L310:L312" si="148">-LN(J310)</f>
        <v>0.15006069457573312</v>
      </c>
      <c r="M310" s="34" cm="1">
        <f t="array" ref="M310:N314">LINEST(L310:L312,K310:K312,FALSE,TRUE)</f>
        <v>0.601700895708982</v>
      </c>
      <c r="N310" s="34">
        <v>0</v>
      </c>
      <c r="O310" s="176">
        <f t="shared" ref="O310" si="149">_xlfn.T.INV.2T(0.32,N313)*M311</f>
        <v>5.2458428602720391E-3</v>
      </c>
      <c r="P310" s="179">
        <f>O310*100/M310</f>
        <v>0.87183564087782861</v>
      </c>
      <c r="Q310" s="173">
        <f>-1.99*273*LN(M310)/1000</f>
        <v>0.27597833941084138</v>
      </c>
      <c r="R310" s="173">
        <f>ABS(1.99*273*O310/M310/1000)</f>
        <v>4.7364214861969805E-3</v>
      </c>
      <c r="S310" s="77"/>
    </row>
    <row r="311" spans="1:19">
      <c r="A311" s="183" t="s">
        <v>800</v>
      </c>
      <c r="B311" s="22">
        <v>0.2</v>
      </c>
      <c r="C311" s="22">
        <v>0.2</v>
      </c>
      <c r="D311" s="15">
        <v>0.08</v>
      </c>
      <c r="E311" s="23">
        <v>1</v>
      </c>
      <c r="F311" s="23">
        <v>1.05</v>
      </c>
      <c r="G311" s="23">
        <v>0.32</v>
      </c>
      <c r="H311" s="27">
        <v>0.19</v>
      </c>
      <c r="I311" s="24">
        <f t="shared" si="147"/>
        <v>0.75757575757575757</v>
      </c>
      <c r="J311" s="23">
        <f t="shared" si="147"/>
        <v>0.84677419354838712</v>
      </c>
      <c r="K311" s="25">
        <f>-LN(I311)</f>
        <v>0.2776317365982795</v>
      </c>
      <c r="L311" s="25">
        <f t="shared" si="148"/>
        <v>0.16632121544751347</v>
      </c>
      <c r="M311" s="26">
        <v>3.9996408614138002E-3</v>
      </c>
      <c r="N311" s="26" t="e">
        <v>#N/A</v>
      </c>
      <c r="O311" s="177"/>
      <c r="P311" s="180"/>
      <c r="Q311" s="174"/>
      <c r="R311" s="174"/>
      <c r="S311" s="55"/>
    </row>
    <row r="312" spans="1:19">
      <c r="A312" s="183" t="s">
        <v>801</v>
      </c>
      <c r="B312" s="22">
        <v>0.2</v>
      </c>
      <c r="C312" s="22">
        <v>0.2</v>
      </c>
      <c r="D312" s="22">
        <v>0.12</v>
      </c>
      <c r="E312" s="23">
        <v>1</v>
      </c>
      <c r="F312" s="23">
        <v>1.21</v>
      </c>
      <c r="G312" s="23">
        <v>0.72</v>
      </c>
      <c r="H312" s="27">
        <v>0.47</v>
      </c>
      <c r="I312" s="24">
        <f t="shared" si="147"/>
        <v>0.58139534883720934</v>
      </c>
      <c r="J312" s="23">
        <f t="shared" si="147"/>
        <v>0.72023809523809523</v>
      </c>
      <c r="K312" s="25">
        <f>-LN(I312)</f>
        <v>0.5423242908253616</v>
      </c>
      <c r="L312" s="25">
        <f t="shared" si="148"/>
        <v>0.32817343380651787</v>
      </c>
      <c r="M312" s="26">
        <v>0.99991163662494886</v>
      </c>
      <c r="N312" s="26">
        <v>2.6410888103254137E-3</v>
      </c>
      <c r="O312" s="177"/>
      <c r="P312" s="180"/>
      <c r="Q312" s="174"/>
      <c r="R312" s="174"/>
      <c r="S312" s="55"/>
    </row>
    <row r="313" spans="1:19">
      <c r="A313" s="183"/>
      <c r="B313" s="45"/>
      <c r="C313" s="45"/>
      <c r="D313" s="45"/>
      <c r="E313" s="46"/>
      <c r="F313" s="46"/>
      <c r="G313" s="46"/>
      <c r="H313" s="46"/>
      <c r="I313" s="46"/>
      <c r="J313" s="46"/>
      <c r="K313" s="47"/>
      <c r="L313" s="47"/>
      <c r="M313" s="26">
        <v>22631.811789565141</v>
      </c>
      <c r="N313" s="26">
        <v>2</v>
      </c>
      <c r="O313" s="177"/>
      <c r="P313" s="180"/>
      <c r="Q313" s="174"/>
      <c r="R313" s="174"/>
      <c r="S313" s="55"/>
    </row>
    <row r="314" spans="1:19">
      <c r="A314" s="184"/>
      <c r="B314" s="45"/>
      <c r="C314" s="45"/>
      <c r="D314" s="45"/>
      <c r="E314" s="46"/>
      <c r="F314" s="46"/>
      <c r="G314" s="46"/>
      <c r="H314" s="46"/>
      <c r="I314" s="46"/>
      <c r="J314" s="46"/>
      <c r="K314" s="47"/>
      <c r="L314" s="47"/>
      <c r="M314" s="26">
        <v>0.15786481072064257</v>
      </c>
      <c r="N314" s="26">
        <v>1.395070020805222E-5</v>
      </c>
      <c r="O314" s="178"/>
      <c r="P314" s="181"/>
      <c r="Q314" s="175"/>
      <c r="R314" s="175"/>
      <c r="S314" s="55"/>
    </row>
    <row r="315" spans="1:19" s="19" customFormat="1" ht="14">
      <c r="A315" s="182" t="s">
        <v>802</v>
      </c>
      <c r="B315" s="30">
        <v>0.2</v>
      </c>
      <c r="C315" s="30">
        <v>0.2</v>
      </c>
      <c r="D315" s="18">
        <v>0.04</v>
      </c>
      <c r="E315" s="31">
        <v>1</v>
      </c>
      <c r="F315" s="31">
        <v>1.07</v>
      </c>
      <c r="G315" s="31">
        <v>0.16</v>
      </c>
      <c r="H315" s="32">
        <v>8.6999999999999994E-2</v>
      </c>
      <c r="I315" s="32">
        <f t="shared" ref="I315:J319" si="150">E315/(E315+G315)</f>
        <v>0.86206896551724144</v>
      </c>
      <c r="J315" s="31">
        <f t="shared" si="150"/>
        <v>0.92480553154710465</v>
      </c>
      <c r="K315" s="33">
        <f t="shared" ref="K315:L319" si="151">-LN(I315)</f>
        <v>0.14842000511827322</v>
      </c>
      <c r="L315" s="33">
        <f t="shared" si="151"/>
        <v>7.8171799737724645E-2</v>
      </c>
      <c r="M315" s="34" cm="1">
        <f t="array" ref="M315:N319">LINEST(L315:L319,K315:K319,FALSE,TRUE)</f>
        <v>0.5280395158418324</v>
      </c>
      <c r="N315" s="34">
        <v>0</v>
      </c>
      <c r="O315" s="176">
        <f t="shared" ref="O315" si="152">_xlfn.T.INV.2T(0.32,N318)*M316</f>
        <v>1.6064662809735748E-2</v>
      </c>
      <c r="P315" s="179">
        <f>O315*100/M315</f>
        <v>3.0423220853319082</v>
      </c>
      <c r="Q315" s="173">
        <f>-1.99*273*LN(M315)/1000</f>
        <v>0.34692361522696841</v>
      </c>
      <c r="R315" s="173">
        <f>ABS(1.99*273*O315/M315/1000)</f>
        <v>1.6528023192982657E-2</v>
      </c>
      <c r="S315" s="73"/>
    </row>
    <row r="316" spans="1:19" ht="14">
      <c r="A316" s="183" t="s">
        <v>803</v>
      </c>
      <c r="B316" s="22">
        <v>0.2</v>
      </c>
      <c r="C316" s="22">
        <v>0.2</v>
      </c>
      <c r="D316" s="15">
        <v>0.08</v>
      </c>
      <c r="E316" s="23">
        <v>1</v>
      </c>
      <c r="F316" s="23">
        <v>1.23</v>
      </c>
      <c r="G316" s="23">
        <v>0.24</v>
      </c>
      <c r="H316" s="27">
        <v>0.14500000000000002</v>
      </c>
      <c r="I316" s="24">
        <f t="shared" si="150"/>
        <v>0.80645161290322587</v>
      </c>
      <c r="J316" s="23">
        <f t="shared" si="150"/>
        <v>0.89454545454545453</v>
      </c>
      <c r="K316" s="25">
        <f t="shared" si="151"/>
        <v>0.21511137961694543</v>
      </c>
      <c r="L316" s="25">
        <f t="shared" si="151"/>
        <v>0.11143956173420851</v>
      </c>
      <c r="M316" s="26">
        <v>1.4161416097306246E-2</v>
      </c>
      <c r="N316" s="26" t="e">
        <v>#N/A</v>
      </c>
      <c r="O316" s="177"/>
      <c r="P316" s="180"/>
      <c r="Q316" s="174"/>
      <c r="R316" s="174"/>
      <c r="S316" s="74"/>
    </row>
    <row r="317" spans="1:19">
      <c r="A317" s="183" t="s">
        <v>804</v>
      </c>
      <c r="B317" s="22">
        <v>0.2</v>
      </c>
      <c r="C317" s="22">
        <v>0.2</v>
      </c>
      <c r="D317" s="22">
        <v>0.12</v>
      </c>
      <c r="E317" s="23">
        <v>1</v>
      </c>
      <c r="F317" s="23">
        <v>1.27</v>
      </c>
      <c r="G317" s="23">
        <v>0.35</v>
      </c>
      <c r="H317" s="27">
        <v>0.22999999999999998</v>
      </c>
      <c r="I317" s="24">
        <f t="shared" si="150"/>
        <v>0.7407407407407407</v>
      </c>
      <c r="J317" s="23">
        <f t="shared" si="150"/>
        <v>0.84666666666666668</v>
      </c>
      <c r="K317" s="25">
        <f t="shared" si="151"/>
        <v>0.30010459245033816</v>
      </c>
      <c r="L317" s="25">
        <f t="shared" si="151"/>
        <v>0.16644820763766446</v>
      </c>
      <c r="M317" s="26">
        <v>0.99713124911389961</v>
      </c>
      <c r="N317" s="26">
        <v>1.1654451373760295E-2</v>
      </c>
      <c r="O317" s="177"/>
      <c r="P317" s="180"/>
      <c r="Q317" s="174"/>
      <c r="R317" s="174"/>
      <c r="S317" s="55"/>
    </row>
    <row r="318" spans="1:19">
      <c r="A318" s="183" t="s">
        <v>805</v>
      </c>
      <c r="B318" s="22">
        <v>0.2</v>
      </c>
      <c r="C318" s="22">
        <v>0.2</v>
      </c>
      <c r="D318" s="15">
        <v>0.16</v>
      </c>
      <c r="E318" s="27">
        <v>1</v>
      </c>
      <c r="F318" s="27">
        <v>1.25</v>
      </c>
      <c r="G318" s="27">
        <v>0.54</v>
      </c>
      <c r="H318" s="27">
        <v>0.34499999999999997</v>
      </c>
      <c r="I318" s="24">
        <f t="shared" si="150"/>
        <v>0.64935064935064934</v>
      </c>
      <c r="J318" s="23">
        <f t="shared" si="150"/>
        <v>0.78369905956112851</v>
      </c>
      <c r="K318" s="25">
        <f t="shared" si="151"/>
        <v>0.43178241642553777</v>
      </c>
      <c r="L318" s="25">
        <f t="shared" si="151"/>
        <v>0.24373018492259815</v>
      </c>
      <c r="M318" s="26">
        <v>1390.3350812999447</v>
      </c>
      <c r="N318" s="26">
        <v>4</v>
      </c>
      <c r="O318" s="177"/>
      <c r="P318" s="180"/>
      <c r="Q318" s="174"/>
      <c r="R318" s="174"/>
      <c r="S318" s="55"/>
    </row>
    <row r="319" spans="1:19">
      <c r="A319" s="196" t="s">
        <v>806</v>
      </c>
      <c r="B319" s="22">
        <v>0.2</v>
      </c>
      <c r="C319" s="22">
        <v>0.2</v>
      </c>
      <c r="D319" s="15">
        <v>0.2</v>
      </c>
      <c r="E319" s="27">
        <v>1</v>
      </c>
      <c r="F319" s="27">
        <v>1.46</v>
      </c>
      <c r="G319" s="27">
        <v>0.78</v>
      </c>
      <c r="H319" s="27">
        <v>0.49</v>
      </c>
      <c r="I319" s="27">
        <f t="shared" si="150"/>
        <v>0.5617977528089888</v>
      </c>
      <c r="J319" s="23">
        <f t="shared" si="150"/>
        <v>0.74871794871794872</v>
      </c>
      <c r="K319" s="51">
        <f t="shared" si="151"/>
        <v>0.57661336430399368</v>
      </c>
      <c r="L319" s="25">
        <f t="shared" si="151"/>
        <v>0.28939293685541034</v>
      </c>
      <c r="M319" s="26">
        <v>0.18884398201644848</v>
      </c>
      <c r="N319" s="26">
        <v>5.4330494729337296E-4</v>
      </c>
      <c r="O319" s="178"/>
      <c r="P319" s="180"/>
      <c r="Q319" s="174"/>
      <c r="R319" s="174"/>
      <c r="S319" s="55"/>
    </row>
    <row r="320" spans="1:19" s="38" customFormat="1">
      <c r="A320" s="92" t="s">
        <v>807</v>
      </c>
      <c r="B320" s="35"/>
      <c r="C320" s="35"/>
      <c r="D320" s="35"/>
      <c r="E320" s="36"/>
      <c r="F320" s="36"/>
      <c r="G320" s="36"/>
      <c r="H320" s="36"/>
      <c r="I320" s="36"/>
      <c r="J320" s="36"/>
      <c r="K320" s="37"/>
      <c r="L320" s="37"/>
      <c r="M320" s="52">
        <f>M315*2*0.25/(0.24+0.25)</f>
        <v>0.53881583249166576</v>
      </c>
      <c r="N320" s="54"/>
      <c r="O320" s="39">
        <f>O315*2*0.25/(0.24+0.25)</f>
        <v>1.6392513071158927E-2</v>
      </c>
      <c r="P320" s="40">
        <f>O315*100/M315</f>
        <v>3.0423220853319082</v>
      </c>
      <c r="Q320" s="41">
        <f>-1.99*273*LN(M320)/1000</f>
        <v>0.33594809042257961</v>
      </c>
      <c r="R320" s="41">
        <f>ABS(1.99*273*O320/M320/1000)</f>
        <v>1.6528023192982653E-2</v>
      </c>
      <c r="S320" s="75"/>
    </row>
    <row r="321" spans="1:19">
      <c r="A321" s="91" t="s">
        <v>808</v>
      </c>
      <c r="B321" s="45"/>
      <c r="C321" s="45"/>
      <c r="D321" s="45"/>
      <c r="E321" s="46"/>
      <c r="F321" s="46"/>
      <c r="G321" s="46"/>
      <c r="H321" s="46"/>
      <c r="I321" s="46"/>
      <c r="J321" s="46"/>
      <c r="K321" s="47"/>
      <c r="L321" s="47"/>
      <c r="M321" s="26">
        <f>M315*2*0.24/(0.24+0.25)</f>
        <v>0.51726319919199903</v>
      </c>
      <c r="N321" s="53"/>
      <c r="O321" s="13">
        <f>O315*2*0.24/(0.24+0.25)</f>
        <v>1.5736812548312568E-2</v>
      </c>
      <c r="P321" s="14">
        <f>O315*100/M315</f>
        <v>3.0423220853319082</v>
      </c>
      <c r="Q321" s="15">
        <f>-1.99*273*LN(M321)/1000</f>
        <v>0.3581254553855987</v>
      </c>
      <c r="R321" s="15">
        <f>ABS(1.99*273*O321/M321/1000)</f>
        <v>1.6528023192982657E-2</v>
      </c>
      <c r="S321" s="55"/>
    </row>
    <row r="322" spans="1:19">
      <c r="A322" s="161" t="s">
        <v>933</v>
      </c>
      <c r="B322" s="118">
        <v>0.2</v>
      </c>
      <c r="C322" s="118">
        <v>0.2</v>
      </c>
      <c r="D322" s="119">
        <v>0.04</v>
      </c>
      <c r="E322" s="120">
        <v>1</v>
      </c>
      <c r="F322" s="120">
        <f>3.1126/3</f>
        <v>1.0375333333333334</v>
      </c>
      <c r="G322" s="120">
        <v>7.3899999999999993E-2</v>
      </c>
      <c r="H322" s="121">
        <v>4.9599999999999998E-2</v>
      </c>
      <c r="I322" s="121">
        <f t="shared" ref="I322:I325" si="153">E322/(E322+G322)</f>
        <v>0.93118539901294339</v>
      </c>
      <c r="J322" s="120">
        <f t="shared" ref="J322:J325" si="154">F322/(F322+H322)</f>
        <v>0.95437542159808664</v>
      </c>
      <c r="K322" s="122">
        <f t="shared" ref="K322:K325" si="155">-LN(I322)</f>
        <v>7.1296881882033855E-2</v>
      </c>
      <c r="L322" s="122">
        <f t="shared" ref="L322:L325" si="156">-LN(J322)</f>
        <v>4.6698161256267266E-2</v>
      </c>
      <c r="M322" s="123" cm="1">
        <f t="array" ref="M322:N326">LINEST(L322:L325,K322:K325,FALSE,TRUE)</f>
        <v>0.48990452036875914</v>
      </c>
      <c r="N322" s="123">
        <v>0</v>
      </c>
      <c r="O322" s="164">
        <f>TINV(0.32,N325)*M323</f>
        <v>6.4138048488615346E-2</v>
      </c>
      <c r="P322" s="167">
        <f>O322*100/M322</f>
        <v>13.091948700603455</v>
      </c>
      <c r="Q322" s="170">
        <f>-1.99*273*LN(M322)/1000</f>
        <v>0.38764746353339452</v>
      </c>
      <c r="R322" s="170">
        <f>ABS(1.99*273*O322/M322/1000)</f>
        <v>7.1124629705768383E-2</v>
      </c>
      <c r="S322" s="124"/>
    </row>
    <row r="323" spans="1:19">
      <c r="A323" s="162"/>
      <c r="B323" s="125">
        <v>0.2</v>
      </c>
      <c r="C323" s="125">
        <v>0.2</v>
      </c>
      <c r="D323" s="126">
        <v>0.08</v>
      </c>
      <c r="E323" s="127">
        <v>1</v>
      </c>
      <c r="F323" s="127">
        <f>2.3794/3</f>
        <v>0.79313333333333336</v>
      </c>
      <c r="G323" s="127">
        <v>0.1847</v>
      </c>
      <c r="H323" s="128">
        <v>9.8500000000000004E-2</v>
      </c>
      <c r="I323" s="129">
        <f t="shared" si="153"/>
        <v>0.8440955516164429</v>
      </c>
      <c r="J323" s="127">
        <f t="shared" si="154"/>
        <v>0.88952858050768246</v>
      </c>
      <c r="K323" s="130">
        <f t="shared" si="155"/>
        <v>0.16948957797857647</v>
      </c>
      <c r="L323" s="130">
        <f t="shared" si="156"/>
        <v>0.11706364141134286</v>
      </c>
      <c r="M323" s="131">
        <v>5.3946087696791011E-2</v>
      </c>
      <c r="N323" s="131" t="e">
        <v>#N/A</v>
      </c>
      <c r="O323" s="165"/>
      <c r="P323" s="168"/>
      <c r="Q323" s="171"/>
      <c r="R323" s="171"/>
      <c r="S323" s="132"/>
    </row>
    <row r="324" spans="1:19">
      <c r="A324" s="162"/>
      <c r="B324" s="125">
        <v>0.2</v>
      </c>
      <c r="C324" s="125">
        <v>0.2</v>
      </c>
      <c r="D324" s="125">
        <v>0.12</v>
      </c>
      <c r="E324" s="127">
        <v>1</v>
      </c>
      <c r="F324" s="127">
        <f>4.2874/3</f>
        <v>1.4291333333333334</v>
      </c>
      <c r="G324" s="127">
        <v>0.25650000000000001</v>
      </c>
      <c r="H324" s="128">
        <v>0.16170000000000001</v>
      </c>
      <c r="I324" s="129">
        <f t="shared" si="153"/>
        <v>0.79586152009550337</v>
      </c>
      <c r="J324" s="127">
        <f t="shared" si="154"/>
        <v>0.89835515976951286</v>
      </c>
      <c r="K324" s="130">
        <f t="shared" si="155"/>
        <v>0.22833007800150984</v>
      </c>
      <c r="L324" s="130">
        <f t="shared" si="156"/>
        <v>0.1071897880128674</v>
      </c>
      <c r="M324" s="131">
        <v>0.96490051006505095</v>
      </c>
      <c r="N324" s="131">
        <v>2.3272553880884568E-2</v>
      </c>
      <c r="O324" s="165"/>
      <c r="P324" s="168"/>
      <c r="Q324" s="171"/>
      <c r="R324" s="171"/>
      <c r="S324" s="132"/>
    </row>
    <row r="325" spans="1:19">
      <c r="A325" s="162"/>
      <c r="B325" s="133"/>
      <c r="C325" s="133"/>
      <c r="D325" s="133"/>
      <c r="E325" s="134">
        <v>1</v>
      </c>
      <c r="F325" s="134">
        <f>4.5249/3</f>
        <v>1.5083</v>
      </c>
      <c r="G325" s="134">
        <v>0.37230000000000002</v>
      </c>
      <c r="H325" s="134">
        <v>0.22239999999999999</v>
      </c>
      <c r="I325" s="129">
        <f t="shared" si="153"/>
        <v>0.72870363623114476</v>
      </c>
      <c r="J325" s="127">
        <f t="shared" si="154"/>
        <v>0.87149708210550647</v>
      </c>
      <c r="K325" s="130">
        <f t="shared" si="155"/>
        <v>0.3164881642934505</v>
      </c>
      <c r="L325" s="130">
        <f t="shared" si="156"/>
        <v>0.1375427621567468</v>
      </c>
      <c r="M325" s="131">
        <v>82.471327519573435</v>
      </c>
      <c r="N325" s="131">
        <v>3</v>
      </c>
      <c r="O325" s="165"/>
      <c r="P325" s="168"/>
      <c r="Q325" s="171"/>
      <c r="R325" s="171"/>
      <c r="S325" s="132"/>
    </row>
    <row r="326" spans="1:19">
      <c r="A326" s="163"/>
      <c r="B326" s="133"/>
      <c r="C326" s="133"/>
      <c r="D326" s="133"/>
      <c r="E326" s="134"/>
      <c r="F326" s="134"/>
      <c r="G326" s="134"/>
      <c r="H326" s="134"/>
      <c r="I326" s="134"/>
      <c r="J326" s="134"/>
      <c r="K326" s="135"/>
      <c r="L326" s="135"/>
      <c r="M326" s="131">
        <v>4.4667441188734655E-2</v>
      </c>
      <c r="N326" s="131">
        <v>1.6248352924160261E-3</v>
      </c>
      <c r="O326" s="166"/>
      <c r="P326" s="169"/>
      <c r="Q326" s="172"/>
      <c r="R326" s="172"/>
      <c r="S326" s="136"/>
    </row>
    <row r="327" spans="1:19" s="19" customFormat="1">
      <c r="A327" s="182" t="s">
        <v>809</v>
      </c>
      <c r="B327" s="30">
        <v>0.2</v>
      </c>
      <c r="C327" s="30">
        <v>0.2</v>
      </c>
      <c r="D327" s="18">
        <v>0.04</v>
      </c>
      <c r="E327" s="31">
        <v>1</v>
      </c>
      <c r="F327" s="31">
        <v>1.27</v>
      </c>
      <c r="G327" s="31">
        <v>0.42</v>
      </c>
      <c r="H327" s="32">
        <v>0.22</v>
      </c>
      <c r="I327" s="32">
        <f t="shared" ref="I327:J329" si="157">E327/(E327+G327)</f>
        <v>0.70422535211267612</v>
      </c>
      <c r="J327" s="31">
        <f t="shared" si="157"/>
        <v>0.8523489932885906</v>
      </c>
      <c r="K327" s="33">
        <f t="shared" ref="K327:L329" si="158">-LN(I327)</f>
        <v>0.35065687161316927</v>
      </c>
      <c r="L327" s="33">
        <f t="shared" si="158"/>
        <v>0.15975921948686789</v>
      </c>
      <c r="M327" s="34" cm="1">
        <f t="array" ref="M327:N331">LINEST(L327:L329,K327:K329,FALSE,TRUE)</f>
        <v>0.39135653834788381</v>
      </c>
      <c r="N327" s="34">
        <v>0</v>
      </c>
      <c r="O327" s="176">
        <f>TINV(0.32,N330)*M328</f>
        <v>1.3940067368388719E-2</v>
      </c>
      <c r="P327" s="179">
        <f>O327*100/M327</f>
        <v>3.5619865780796398</v>
      </c>
      <c r="Q327" s="173">
        <f>-1.99*273*LN(M327)/1000</f>
        <v>0.50966129233121982</v>
      </c>
      <c r="R327" s="173">
        <f>ABS(1.99*273*O327/M327/1000)</f>
        <v>1.9351204482733256E-2</v>
      </c>
      <c r="S327" s="77"/>
    </row>
    <row r="328" spans="1:19">
      <c r="A328" s="183" t="s">
        <v>810</v>
      </c>
      <c r="B328" s="22">
        <v>0.2</v>
      </c>
      <c r="C328" s="22">
        <v>0.2</v>
      </c>
      <c r="D328" s="15">
        <v>0.08</v>
      </c>
      <c r="E328" s="23">
        <v>1</v>
      </c>
      <c r="F328" s="23">
        <v>1.6</v>
      </c>
      <c r="G328" s="23">
        <v>1.21</v>
      </c>
      <c r="H328" s="27">
        <v>0.61</v>
      </c>
      <c r="I328" s="24">
        <f t="shared" si="157"/>
        <v>0.45248868778280543</v>
      </c>
      <c r="J328" s="23">
        <f t="shared" si="157"/>
        <v>0.72398190045248878</v>
      </c>
      <c r="K328" s="25">
        <f t="shared" si="158"/>
        <v>0.79299251552966143</v>
      </c>
      <c r="L328" s="25">
        <f t="shared" si="158"/>
        <v>0.32298888628392575</v>
      </c>
      <c r="M328" s="26">
        <v>1.0628466109748722E-2</v>
      </c>
      <c r="N328" s="26" t="e">
        <v>#N/A</v>
      </c>
      <c r="O328" s="177"/>
      <c r="P328" s="180"/>
      <c r="Q328" s="174"/>
      <c r="R328" s="174"/>
      <c r="S328" s="55"/>
    </row>
    <row r="329" spans="1:19">
      <c r="A329" s="183" t="s">
        <v>811</v>
      </c>
      <c r="B329" s="22">
        <v>0.2</v>
      </c>
      <c r="C329" s="22">
        <v>0.2</v>
      </c>
      <c r="D329" s="22">
        <v>0.12</v>
      </c>
      <c r="E329" s="23">
        <v>1</v>
      </c>
      <c r="F329" s="23">
        <v>2.66</v>
      </c>
      <c r="G329" s="23">
        <v>4.21</v>
      </c>
      <c r="H329" s="27">
        <v>2.36</v>
      </c>
      <c r="I329" s="24">
        <f t="shared" si="157"/>
        <v>0.19193857965451055</v>
      </c>
      <c r="J329" s="23">
        <f t="shared" si="157"/>
        <v>0.52988047808764949</v>
      </c>
      <c r="K329" s="25">
        <f t="shared" si="158"/>
        <v>1.6505798557652755</v>
      </c>
      <c r="L329" s="25">
        <f t="shared" si="158"/>
        <v>0.63510381091002999</v>
      </c>
      <c r="M329" s="26">
        <v>0.99852705737745107</v>
      </c>
      <c r="N329" s="26">
        <v>1.9816350321889366E-2</v>
      </c>
      <c r="O329" s="177"/>
      <c r="P329" s="180"/>
      <c r="Q329" s="174"/>
      <c r="R329" s="174"/>
      <c r="S329" s="55"/>
    </row>
    <row r="330" spans="1:19">
      <c r="A330" s="183"/>
      <c r="B330" s="45"/>
      <c r="C330" s="45"/>
      <c r="D330" s="45"/>
      <c r="E330" s="46"/>
      <c r="F330" s="46"/>
      <c r="G330" s="46"/>
      <c r="H330" s="46"/>
      <c r="I330" s="46"/>
      <c r="J330" s="46"/>
      <c r="K330" s="47"/>
      <c r="L330" s="47"/>
      <c r="M330" s="26">
        <v>1355.8261429756167</v>
      </c>
      <c r="N330" s="26">
        <v>2</v>
      </c>
      <c r="O330" s="177"/>
      <c r="P330" s="180"/>
      <c r="Q330" s="174"/>
      <c r="R330" s="174"/>
      <c r="S330" s="55"/>
    </row>
    <row r="331" spans="1:19">
      <c r="A331" s="184"/>
      <c r="B331" s="45"/>
      <c r="C331" s="45"/>
      <c r="D331" s="45"/>
      <c r="E331" s="46"/>
      <c r="F331" s="46"/>
      <c r="G331" s="46"/>
      <c r="H331" s="46"/>
      <c r="I331" s="46"/>
      <c r="J331" s="46"/>
      <c r="K331" s="47"/>
      <c r="L331" s="47"/>
      <c r="M331" s="26">
        <v>0.53241630402626738</v>
      </c>
      <c r="N331" s="26">
        <v>7.8537548015968951E-4</v>
      </c>
      <c r="O331" s="178"/>
      <c r="P331" s="181"/>
      <c r="Q331" s="175"/>
      <c r="R331" s="175"/>
      <c r="S331" s="55"/>
    </row>
    <row r="332" spans="1:19" s="19" customFormat="1" ht="14">
      <c r="A332" s="182" t="s">
        <v>812</v>
      </c>
      <c r="B332" s="30">
        <v>0.2</v>
      </c>
      <c r="C332" s="30">
        <v>0.2</v>
      </c>
      <c r="D332" s="18">
        <v>0.04</v>
      </c>
      <c r="E332" s="31">
        <v>1</v>
      </c>
      <c r="F332" s="31">
        <v>1.02</v>
      </c>
      <c r="G332" s="31">
        <v>0.15</v>
      </c>
      <c r="H332" s="32">
        <v>5.0999999999999997E-2</v>
      </c>
      <c r="I332" s="32">
        <f>E332/(E332+G332)</f>
        <v>0.86956521739130443</v>
      </c>
      <c r="J332" s="31">
        <f>F332/(F332+H332)</f>
        <v>0.95238095238095244</v>
      </c>
      <c r="K332" s="33">
        <f>-LN(I332)</f>
        <v>0.1397619423751586</v>
      </c>
      <c r="L332" s="33">
        <f>-LN(J332)</f>
        <v>4.8790164169431945E-2</v>
      </c>
      <c r="M332" s="34" cm="1">
        <f t="array" ref="M332:N336">LINEST(L332:L333,K332:K333,FALSE,TRUE)</f>
        <v>0.35632500076322754</v>
      </c>
      <c r="N332" s="34">
        <v>0</v>
      </c>
      <c r="O332" s="176">
        <f t="shared" ref="O332" si="159">TINV(0.32,N335)*M333</f>
        <v>1.1707433603289893E-2</v>
      </c>
      <c r="P332" s="179">
        <f>O332*100/M332</f>
        <v>3.2856054383535391</v>
      </c>
      <c r="Q332" s="173">
        <f>-1.99*273*LN(M332)/1000</f>
        <v>0.56060685456790815</v>
      </c>
      <c r="R332" s="173">
        <f>ABS(1.99*273*O332/M332/1000)</f>
        <v>1.7849708664943273E-2</v>
      </c>
      <c r="S332" s="73"/>
    </row>
    <row r="333" spans="1:19" ht="14">
      <c r="A333" s="183" t="s">
        <v>813</v>
      </c>
      <c r="B333" s="22">
        <v>0.2</v>
      </c>
      <c r="C333" s="22">
        <v>0.2</v>
      </c>
      <c r="D333" s="15">
        <v>0.06</v>
      </c>
      <c r="E333" s="23">
        <v>1</v>
      </c>
      <c r="F333" s="23">
        <v>1.06</v>
      </c>
      <c r="G333" s="23">
        <v>0.17</v>
      </c>
      <c r="H333" s="27">
        <v>6.2E-2</v>
      </c>
      <c r="I333" s="24">
        <f>E333/(E333+G333)</f>
        <v>0.85470085470085477</v>
      </c>
      <c r="J333" s="23">
        <f>F333/(F333+H333)</f>
        <v>0.94474153297682706</v>
      </c>
      <c r="K333" s="25">
        <f>-LN(I333)</f>
        <v>0.15700374880966467</v>
      </c>
      <c r="L333" s="25">
        <f>-LN(J333)</f>
        <v>5.6843898976528834E-2</v>
      </c>
      <c r="M333" s="26">
        <v>6.4362160886465847E-3</v>
      </c>
      <c r="N333" s="26" t="e">
        <v>#N/A</v>
      </c>
      <c r="O333" s="177"/>
      <c r="P333" s="180"/>
      <c r="Q333" s="174"/>
      <c r="R333" s="174"/>
      <c r="S333" s="74"/>
    </row>
    <row r="334" spans="1:19">
      <c r="A334" s="183"/>
      <c r="B334" s="61"/>
      <c r="C334" s="61"/>
      <c r="D334" s="61"/>
      <c r="E334" s="62"/>
      <c r="F334" s="62"/>
      <c r="G334" s="62"/>
      <c r="H334" s="46"/>
      <c r="I334" s="63"/>
      <c r="J334" s="62"/>
      <c r="K334" s="64"/>
      <c r="L334" s="64"/>
      <c r="M334" s="26">
        <v>0.99967384279831006</v>
      </c>
      <c r="N334" s="26">
        <v>1.3528855437649479E-3</v>
      </c>
      <c r="O334" s="177"/>
      <c r="P334" s="180"/>
      <c r="Q334" s="174"/>
      <c r="R334" s="174"/>
      <c r="S334" s="55"/>
    </row>
    <row r="335" spans="1:19">
      <c r="A335" s="183"/>
      <c r="B335" s="45"/>
      <c r="C335" s="45"/>
      <c r="D335" s="45"/>
      <c r="E335" s="46"/>
      <c r="F335" s="46"/>
      <c r="G335" s="46"/>
      <c r="H335" s="46"/>
      <c r="I335" s="46"/>
      <c r="J335" s="46"/>
      <c r="K335" s="47"/>
      <c r="L335" s="47"/>
      <c r="M335" s="26">
        <v>3065.0061921624374</v>
      </c>
      <c r="N335" s="26">
        <v>1</v>
      </c>
      <c r="O335" s="177"/>
      <c r="P335" s="180"/>
      <c r="Q335" s="174"/>
      <c r="R335" s="174"/>
      <c r="S335" s="55"/>
    </row>
    <row r="336" spans="1:19">
      <c r="A336" s="184"/>
      <c r="B336" s="42"/>
      <c r="C336" s="42"/>
      <c r="D336" s="42"/>
      <c r="E336" s="43"/>
      <c r="F336" s="43"/>
      <c r="G336" s="43"/>
      <c r="H336" s="43"/>
      <c r="I336" s="43"/>
      <c r="J336" s="43"/>
      <c r="K336" s="44"/>
      <c r="L336" s="44"/>
      <c r="M336" s="26">
        <v>5.6098786712394082E-3</v>
      </c>
      <c r="N336" s="26">
        <v>1.8302992945281787E-6</v>
      </c>
      <c r="O336" s="178"/>
      <c r="P336" s="181"/>
      <c r="Q336" s="175"/>
      <c r="R336" s="175"/>
      <c r="S336" s="55"/>
    </row>
    <row r="337" spans="1:19" s="19" customFormat="1">
      <c r="A337" s="182" t="s">
        <v>814</v>
      </c>
      <c r="B337" s="30">
        <v>0.2</v>
      </c>
      <c r="C337" s="30">
        <v>0.2</v>
      </c>
      <c r="D337" s="18">
        <v>0.04</v>
      </c>
      <c r="E337" s="31">
        <v>1</v>
      </c>
      <c r="F337" s="31">
        <v>1.169</v>
      </c>
      <c r="G337" s="31">
        <v>0.19600000000000001</v>
      </c>
      <c r="H337" s="32">
        <v>7.1999999999999995E-2</v>
      </c>
      <c r="I337" s="32">
        <f t="shared" ref="I337:I339" si="160">E337/(E337+G337)</f>
        <v>0.83612040133779264</v>
      </c>
      <c r="J337" s="31">
        <f t="shared" ref="J337:J339" si="161">F337/(F337+H337)</f>
        <v>0.94198227236099918</v>
      </c>
      <c r="K337" s="33">
        <f t="shared" ref="K337:K339" si="162">-LN(I337)</f>
        <v>0.17898265552844</v>
      </c>
      <c r="L337" s="33">
        <f t="shared" ref="L337:L339" si="163">-LN(J337)</f>
        <v>5.9768823732538806E-2</v>
      </c>
      <c r="M337" s="34" cm="1">
        <f t="array" ref="M337:N341">LINEST(L337:L339,K337:K339,FALSE,TRUE)</f>
        <v>0.35343203031651649</v>
      </c>
      <c r="N337" s="34">
        <v>0</v>
      </c>
      <c r="O337" s="176">
        <f>TINV(0.32,N340)*M338</f>
        <v>5.6954856510617767E-3</v>
      </c>
      <c r="P337" s="179">
        <f>O337*100/M337</f>
        <v>1.6114797648535639</v>
      </c>
      <c r="Q337" s="173">
        <f>-1.99*273*LN(M337)/1000</f>
        <v>0.56503561734055274</v>
      </c>
      <c r="R337" s="173">
        <f>ABS(1.99*273*O337/M337/1000)</f>
        <v>8.7546861185199554E-3</v>
      </c>
      <c r="S337" s="77"/>
    </row>
    <row r="338" spans="1:19">
      <c r="A338" s="183" t="s">
        <v>815</v>
      </c>
      <c r="B338" s="22">
        <v>0.2</v>
      </c>
      <c r="C338" s="22">
        <v>0.2</v>
      </c>
      <c r="D338" s="15">
        <v>0.08</v>
      </c>
      <c r="E338" s="23">
        <v>1</v>
      </c>
      <c r="F338" s="23">
        <v>1.3109999999999999</v>
      </c>
      <c r="G338" s="23">
        <v>0.45200000000000001</v>
      </c>
      <c r="H338" s="27">
        <v>0.188</v>
      </c>
      <c r="I338" s="24">
        <f t="shared" si="160"/>
        <v>0.68870523415977969</v>
      </c>
      <c r="J338" s="23">
        <f t="shared" si="161"/>
        <v>0.87458305537024683</v>
      </c>
      <c r="K338" s="25">
        <f t="shared" si="162"/>
        <v>0.37294191640260421</v>
      </c>
      <c r="L338" s="25">
        <f t="shared" si="163"/>
        <v>0.13400801433889786</v>
      </c>
      <c r="M338" s="26">
        <v>4.3424665477687112E-3</v>
      </c>
      <c r="N338" s="26" t="e">
        <v>#N/A</v>
      </c>
      <c r="O338" s="177"/>
      <c r="P338" s="180"/>
      <c r="Q338" s="174"/>
      <c r="R338" s="174"/>
      <c r="S338" s="55"/>
    </row>
    <row r="339" spans="1:19">
      <c r="A339" s="183" t="s">
        <v>816</v>
      </c>
      <c r="B339" s="22">
        <v>0.2</v>
      </c>
      <c r="C339" s="22">
        <v>0.2</v>
      </c>
      <c r="D339" s="22">
        <v>0.12</v>
      </c>
      <c r="E339" s="23">
        <v>1</v>
      </c>
      <c r="F339" s="23">
        <v>1.4570000000000001</v>
      </c>
      <c r="G339" s="23">
        <v>0.70299999999999996</v>
      </c>
      <c r="H339" s="27">
        <v>0.30099999999999999</v>
      </c>
      <c r="I339" s="24">
        <f t="shared" si="160"/>
        <v>0.58719906048150328</v>
      </c>
      <c r="J339" s="23">
        <f t="shared" si="161"/>
        <v>0.82878270762229811</v>
      </c>
      <c r="K339" s="25">
        <f t="shared" si="162"/>
        <v>0.5323914016805511</v>
      </c>
      <c r="L339" s="25">
        <f t="shared" si="163"/>
        <v>0.18779727204991742</v>
      </c>
      <c r="M339" s="26">
        <v>0.99969817163896102</v>
      </c>
      <c r="N339" s="26">
        <v>2.9277406331680291E-3</v>
      </c>
      <c r="O339" s="177"/>
      <c r="P339" s="180"/>
      <c r="Q339" s="174"/>
      <c r="R339" s="174"/>
      <c r="S339" s="55"/>
    </row>
    <row r="340" spans="1:19">
      <c r="A340" s="183"/>
      <c r="B340" s="45"/>
      <c r="C340" s="45"/>
      <c r="D340" s="45"/>
      <c r="E340" s="46"/>
      <c r="F340" s="46"/>
      <c r="G340" s="46"/>
      <c r="H340" s="46"/>
      <c r="I340" s="46"/>
      <c r="J340" s="46"/>
      <c r="K340" s="47"/>
      <c r="L340" s="47"/>
      <c r="M340" s="26">
        <v>6624.2825438794116</v>
      </c>
      <c r="N340" s="26">
        <v>2</v>
      </c>
      <c r="O340" s="177"/>
      <c r="P340" s="180"/>
      <c r="Q340" s="174"/>
      <c r="R340" s="174"/>
      <c r="S340" s="55"/>
    </row>
    <row r="341" spans="1:19">
      <c r="A341" s="184"/>
      <c r="B341" s="45"/>
      <c r="C341" s="45"/>
      <c r="D341" s="45"/>
      <c r="E341" s="46"/>
      <c r="F341" s="46"/>
      <c r="G341" s="46"/>
      <c r="H341" s="46"/>
      <c r="I341" s="46"/>
      <c r="J341" s="46"/>
      <c r="K341" s="47"/>
      <c r="L341" s="47"/>
      <c r="M341" s="26">
        <v>5.6781132256386035E-2</v>
      </c>
      <c r="N341" s="26">
        <v>1.7143330430206263E-5</v>
      </c>
      <c r="O341" s="178"/>
      <c r="P341" s="181"/>
      <c r="Q341" s="175"/>
      <c r="R341" s="175"/>
      <c r="S341" s="55"/>
    </row>
    <row r="342" spans="1:19" s="19" customFormat="1">
      <c r="A342" s="182" t="s">
        <v>817</v>
      </c>
      <c r="B342" s="30">
        <v>0.2</v>
      </c>
      <c r="C342" s="30">
        <v>0.2</v>
      </c>
      <c r="D342" s="18">
        <v>0.04</v>
      </c>
      <c r="E342" s="31">
        <v>1</v>
      </c>
      <c r="F342" s="31">
        <v>1.1619999999999999</v>
      </c>
      <c r="G342" s="31">
        <v>0.19</v>
      </c>
      <c r="H342" s="32">
        <v>4.3999999999999997E-2</v>
      </c>
      <c r="I342" s="32">
        <f t="shared" ref="I342:J344" si="164">E342/(E342+G342)</f>
        <v>0.84033613445378152</v>
      </c>
      <c r="J342" s="31">
        <f t="shared" si="164"/>
        <v>0.96351575456053062</v>
      </c>
      <c r="K342" s="33">
        <f t="shared" ref="K342:L344" si="165">-LN(I342)</f>
        <v>0.17395330712343801</v>
      </c>
      <c r="L342" s="33">
        <f t="shared" si="165"/>
        <v>3.7166439875274272E-2</v>
      </c>
      <c r="M342" s="34" cm="1">
        <f t="array" ref="M342:N346">LINEST(L342:L344,K342:K344,FALSE,TRUE)</f>
        <v>0.22820315557823004</v>
      </c>
      <c r="N342" s="34">
        <v>0</v>
      </c>
      <c r="O342" s="176">
        <f>TINV(0.32,N345)*M343</f>
        <v>1.7217003889525826E-2</v>
      </c>
      <c r="P342" s="179">
        <f>O342*100/M342</f>
        <v>7.5445950104855966</v>
      </c>
      <c r="Q342" s="173">
        <f>-1.99*273*LN(M342)/1000</f>
        <v>0.8026917544773513</v>
      </c>
      <c r="R342" s="173">
        <f>ABS(1.99*273*O342/M342/1000)</f>
        <v>4.0987521313465093E-2</v>
      </c>
      <c r="S342" s="77"/>
    </row>
    <row r="343" spans="1:19">
      <c r="A343" s="183" t="s">
        <v>818</v>
      </c>
      <c r="B343" s="22">
        <v>0.2</v>
      </c>
      <c r="C343" s="22">
        <v>0.2</v>
      </c>
      <c r="D343" s="15">
        <v>0.08</v>
      </c>
      <c r="E343" s="23">
        <v>1</v>
      </c>
      <c r="F343" s="23">
        <v>1.208</v>
      </c>
      <c r="G343" s="23">
        <v>0.23</v>
      </c>
      <c r="H343" s="27">
        <v>5.2999999999999999E-2</v>
      </c>
      <c r="I343" s="24">
        <f t="shared" si="164"/>
        <v>0.81300813008130079</v>
      </c>
      <c r="J343" s="23">
        <f t="shared" si="164"/>
        <v>0.95796986518636007</v>
      </c>
      <c r="K343" s="25">
        <f t="shared" si="165"/>
        <v>0.20701416938432615</v>
      </c>
      <c r="L343" s="25">
        <f t="shared" si="165"/>
        <v>4.2938957470159259E-2</v>
      </c>
      <c r="M343" s="26">
        <v>1.3126933860176052E-2</v>
      </c>
      <c r="N343" s="26" t="e">
        <v>#N/A</v>
      </c>
      <c r="O343" s="177"/>
      <c r="P343" s="180"/>
      <c r="Q343" s="174"/>
      <c r="R343" s="174"/>
      <c r="S343" s="55"/>
    </row>
    <row r="344" spans="1:19">
      <c r="A344" s="183" t="s">
        <v>819</v>
      </c>
      <c r="B344" s="22">
        <v>0.2</v>
      </c>
      <c r="C344" s="22">
        <v>0.2</v>
      </c>
      <c r="D344" s="22">
        <v>0.12</v>
      </c>
      <c r="E344" s="23">
        <v>1</v>
      </c>
      <c r="F344" s="23">
        <v>1.2769999999999999</v>
      </c>
      <c r="G344" s="23">
        <v>0.30599999999999999</v>
      </c>
      <c r="H344" s="27">
        <v>8.6999999999999994E-2</v>
      </c>
      <c r="I344" s="24">
        <f t="shared" si="164"/>
        <v>0.76569678407350683</v>
      </c>
      <c r="J344" s="23">
        <f t="shared" si="164"/>
        <v>0.93621700879765402</v>
      </c>
      <c r="K344" s="25">
        <f t="shared" si="165"/>
        <v>0.2669690308542394</v>
      </c>
      <c r="L344" s="25">
        <f t="shared" si="165"/>
        <v>6.5907982370868062E-2</v>
      </c>
      <c r="M344" s="26">
        <v>0.99342571245530809</v>
      </c>
      <c r="N344" s="26">
        <v>4.9880117527148259E-3</v>
      </c>
      <c r="O344" s="177"/>
      <c r="P344" s="180"/>
      <c r="Q344" s="174"/>
      <c r="R344" s="174"/>
      <c r="S344" s="55"/>
    </row>
    <row r="345" spans="1:19">
      <c r="A345" s="183"/>
      <c r="B345" s="45"/>
      <c r="C345" s="45"/>
      <c r="D345" s="45"/>
      <c r="E345" s="46"/>
      <c r="F345" s="46"/>
      <c r="G345" s="46"/>
      <c r="H345" s="46"/>
      <c r="I345" s="46"/>
      <c r="J345" s="46"/>
      <c r="K345" s="47"/>
      <c r="L345" s="47"/>
      <c r="M345" s="26">
        <v>302.2154737534741</v>
      </c>
      <c r="N345" s="26">
        <v>2</v>
      </c>
      <c r="O345" s="177"/>
      <c r="P345" s="180"/>
      <c r="Q345" s="174"/>
      <c r="R345" s="174"/>
      <c r="S345" s="55"/>
    </row>
    <row r="346" spans="1:19">
      <c r="A346" s="184"/>
      <c r="B346" s="45"/>
      <c r="C346" s="45"/>
      <c r="D346" s="45"/>
      <c r="E346" s="46"/>
      <c r="F346" s="46"/>
      <c r="G346" s="46"/>
      <c r="H346" s="46"/>
      <c r="I346" s="46"/>
      <c r="J346" s="46"/>
      <c r="K346" s="47"/>
      <c r="L346" s="47"/>
      <c r="M346" s="26">
        <v>7.5191999393347357E-3</v>
      </c>
      <c r="N346" s="26">
        <v>4.9760522490442464E-5</v>
      </c>
      <c r="O346" s="178"/>
      <c r="P346" s="181"/>
      <c r="Q346" s="175"/>
      <c r="R346" s="175"/>
      <c r="S346" s="55"/>
    </row>
    <row r="347" spans="1:19" s="19" customFormat="1">
      <c r="A347" s="182" t="s">
        <v>820</v>
      </c>
      <c r="B347" s="30">
        <v>0.2</v>
      </c>
      <c r="C347" s="30">
        <v>0.2</v>
      </c>
      <c r="D347" s="18">
        <v>0.04</v>
      </c>
      <c r="E347" s="31">
        <v>1</v>
      </c>
      <c r="F347" s="31">
        <v>1.24</v>
      </c>
      <c r="G347" s="31">
        <v>0.33</v>
      </c>
      <c r="H347" s="32">
        <v>0.05</v>
      </c>
      <c r="I347" s="32">
        <f t="shared" ref="I347:J349" si="166">E347/(E347+G347)</f>
        <v>0.75187969924812026</v>
      </c>
      <c r="J347" s="31">
        <f t="shared" si="166"/>
        <v>0.96124031007751931</v>
      </c>
      <c r="K347" s="33">
        <f t="shared" ref="K347:L349" si="167">-LN(I347)</f>
        <v>0.28517894223366247</v>
      </c>
      <c r="L347" s="33">
        <f t="shared" si="167"/>
        <v>3.9530838756635323E-2</v>
      </c>
      <c r="M347" s="34" cm="1">
        <f t="array" ref="M347:N351">LINEST(L347:L349,K347:K349,FALSE,TRUE)</f>
        <v>0.1521834761736135</v>
      </c>
      <c r="N347" s="34">
        <v>0</v>
      </c>
      <c r="O347" s="176">
        <f>TINV(0.32,N350)*M348</f>
        <v>5.1293468796501599E-3</v>
      </c>
      <c r="P347" s="179">
        <f>O347*100/M347</f>
        <v>3.3705018498844863</v>
      </c>
      <c r="Q347" s="173">
        <f>-1.99*273*LN(M347)/1000</f>
        <v>1.0227972649177022</v>
      </c>
      <c r="R347" s="173">
        <f>ABS(1.99*273*O347/M347/1000)</f>
        <v>1.831092539986745E-2</v>
      </c>
      <c r="S347" s="77"/>
    </row>
    <row r="348" spans="1:19">
      <c r="A348" s="183" t="s">
        <v>821</v>
      </c>
      <c r="B348" s="22">
        <v>0.2</v>
      </c>
      <c r="C348" s="22">
        <v>0.2</v>
      </c>
      <c r="D348" s="15">
        <v>0.06</v>
      </c>
      <c r="E348" s="23">
        <v>1</v>
      </c>
      <c r="F348" s="23">
        <v>1.54</v>
      </c>
      <c r="G348" s="23">
        <v>0.68</v>
      </c>
      <c r="H348" s="27">
        <v>0.13</v>
      </c>
      <c r="I348" s="24">
        <f t="shared" si="166"/>
        <v>0.59523809523809523</v>
      </c>
      <c r="J348" s="23">
        <f t="shared" si="166"/>
        <v>0.92215568862275454</v>
      </c>
      <c r="K348" s="25">
        <f t="shared" si="167"/>
        <v>0.51879379341516751</v>
      </c>
      <c r="L348" s="25">
        <f t="shared" si="167"/>
        <v>8.1041210003125891E-2</v>
      </c>
      <c r="M348" s="26">
        <v>3.910819656376489E-3</v>
      </c>
      <c r="N348" s="26" t="e">
        <v>#N/A</v>
      </c>
      <c r="O348" s="177"/>
      <c r="P348" s="180"/>
      <c r="Q348" s="174"/>
      <c r="R348" s="174"/>
      <c r="S348" s="55"/>
    </row>
    <row r="349" spans="1:19">
      <c r="A349" s="183" t="s">
        <v>822</v>
      </c>
      <c r="B349" s="22">
        <v>0.2</v>
      </c>
      <c r="C349" s="22">
        <v>0.2</v>
      </c>
      <c r="D349" s="22">
        <v>0.08</v>
      </c>
      <c r="E349" s="23">
        <v>1</v>
      </c>
      <c r="F349" s="23">
        <v>1.5449999999999999</v>
      </c>
      <c r="G349" s="23">
        <v>0.7</v>
      </c>
      <c r="H349" s="27">
        <v>0.13</v>
      </c>
      <c r="I349" s="24">
        <f t="shared" si="166"/>
        <v>0.58823529411764708</v>
      </c>
      <c r="J349" s="23">
        <f t="shared" si="166"/>
        <v>0.92238805970149262</v>
      </c>
      <c r="K349" s="25">
        <f t="shared" si="167"/>
        <v>0.53062825106217038</v>
      </c>
      <c r="L349" s="25">
        <f t="shared" si="167"/>
        <v>8.0789254927320878E-2</v>
      </c>
      <c r="M349" s="26">
        <v>0.99868096188480271</v>
      </c>
      <c r="N349" s="26">
        <v>3.1091394311915555E-3</v>
      </c>
      <c r="O349" s="177"/>
      <c r="P349" s="180"/>
      <c r="Q349" s="174"/>
      <c r="R349" s="174"/>
      <c r="S349" s="55"/>
    </row>
    <row r="350" spans="1:19">
      <c r="A350" s="183"/>
      <c r="B350" s="45"/>
      <c r="C350" s="45"/>
      <c r="D350" s="45"/>
      <c r="E350" s="46"/>
      <c r="F350" s="46"/>
      <c r="G350" s="46"/>
      <c r="H350" s="46"/>
      <c r="I350" s="46"/>
      <c r="J350" s="46"/>
      <c r="K350" s="47"/>
      <c r="L350" s="47"/>
      <c r="M350" s="26">
        <v>1514.2564121210326</v>
      </c>
      <c r="N350" s="26">
        <v>2</v>
      </c>
      <c r="O350" s="177"/>
      <c r="P350" s="180"/>
      <c r="Q350" s="174"/>
      <c r="R350" s="174"/>
      <c r="S350" s="55"/>
    </row>
    <row r="351" spans="1:19">
      <c r="A351" s="184"/>
      <c r="B351" s="45"/>
      <c r="C351" s="45"/>
      <c r="D351" s="45"/>
      <c r="E351" s="46"/>
      <c r="F351" s="46"/>
      <c r="G351" s="46"/>
      <c r="H351" s="46"/>
      <c r="I351" s="46"/>
      <c r="J351" s="46"/>
      <c r="K351" s="47"/>
      <c r="L351" s="47"/>
      <c r="M351" s="26">
        <v>1.4637935147280316E-2</v>
      </c>
      <c r="N351" s="26">
        <v>1.9333496005180297E-5</v>
      </c>
      <c r="O351" s="178"/>
      <c r="P351" s="181"/>
      <c r="Q351" s="175"/>
      <c r="R351" s="175"/>
      <c r="S351" s="76"/>
    </row>
    <row r="352" spans="1:19">
      <c r="A352" s="161" t="s">
        <v>909</v>
      </c>
      <c r="B352" s="118">
        <v>0.2</v>
      </c>
      <c r="C352" s="118">
        <v>0.2</v>
      </c>
      <c r="D352" s="119">
        <v>0.04</v>
      </c>
      <c r="E352" s="120">
        <v>1</v>
      </c>
      <c r="F352" s="120">
        <f>2.28/2</f>
        <v>1.1399999999999999</v>
      </c>
      <c r="G352" s="120">
        <v>0.122</v>
      </c>
      <c r="H352" s="121">
        <v>6.4000000000000003E-3</v>
      </c>
      <c r="I352" s="121">
        <f t="shared" ref="I352:I355" si="168">E352/(E352+G352)</f>
        <v>0.89126559714795017</v>
      </c>
      <c r="J352" s="120">
        <f t="shared" ref="J352:J355" si="169">F352/(F352+H352)</f>
        <v>0.99441730635031411</v>
      </c>
      <c r="K352" s="122">
        <f t="shared" ref="K352:K354" si="170">-LN(I352)</f>
        <v>0.11511280710050448</v>
      </c>
      <c r="L352" s="122">
        <f t="shared" ref="L352:L354" si="171">-LN(J352)</f>
        <v>5.5983351254208632E-3</v>
      </c>
      <c r="M352" s="123" cm="1">
        <f t="array" ref="M352:N356">LINEST(L352:L355,K352:K355,FALSE,TRUE)</f>
        <v>3.2134238424920518E-2</v>
      </c>
      <c r="N352" s="123">
        <v>0</v>
      </c>
      <c r="O352" s="164">
        <f>TINV(0.32,N355)*M353</f>
        <v>2.4282189043558886E-3</v>
      </c>
      <c r="P352" s="167">
        <f>O352*100/M352</f>
        <v>7.5564849935039176</v>
      </c>
      <c r="Q352" s="170">
        <f>-1.99*273*LN(M352)/1000</f>
        <v>1.8676716423900361</v>
      </c>
      <c r="R352" s="170">
        <f>ABS(1.99*273*O352/M352/1000)</f>
        <v>4.1052116024208739E-2</v>
      </c>
      <c r="S352" s="124"/>
    </row>
    <row r="353" spans="1:19">
      <c r="A353" s="162" t="s">
        <v>821</v>
      </c>
      <c r="B353" s="125">
        <v>0.2</v>
      </c>
      <c r="C353" s="125">
        <v>0.2</v>
      </c>
      <c r="D353" s="126">
        <v>0.08</v>
      </c>
      <c r="E353" s="127">
        <v>1</v>
      </c>
      <c r="F353" s="127">
        <f>2.6295/2</f>
        <v>1.3147500000000001</v>
      </c>
      <c r="G353" s="127">
        <v>0.34589999999999999</v>
      </c>
      <c r="H353" s="128">
        <v>1.2800000000000001E-2</v>
      </c>
      <c r="I353" s="129">
        <f t="shared" si="168"/>
        <v>0.74299725091017166</v>
      </c>
      <c r="J353" s="127">
        <f t="shared" si="169"/>
        <v>0.99035817859967612</v>
      </c>
      <c r="K353" s="130">
        <f t="shared" si="170"/>
        <v>0.29706293425753288</v>
      </c>
      <c r="L353" s="130">
        <f t="shared" si="171"/>
        <v>9.6886047207676521E-3</v>
      </c>
      <c r="M353" s="131">
        <v>2.0423588345479531E-3</v>
      </c>
      <c r="N353" s="131" t="e">
        <v>#N/A</v>
      </c>
      <c r="O353" s="165"/>
      <c r="P353" s="168"/>
      <c r="Q353" s="171"/>
      <c r="R353" s="171"/>
      <c r="S353" s="132"/>
    </row>
    <row r="354" spans="1:19">
      <c r="A354" s="162" t="s">
        <v>822</v>
      </c>
      <c r="B354" s="125">
        <v>0.2</v>
      </c>
      <c r="C354" s="125">
        <v>0.2</v>
      </c>
      <c r="D354" s="125">
        <v>0.12</v>
      </c>
      <c r="E354" s="127">
        <v>1</v>
      </c>
      <c r="F354" s="127">
        <f>3/2</f>
        <v>1.5</v>
      </c>
      <c r="G354" s="127">
        <v>0.49480000000000002</v>
      </c>
      <c r="H354" s="128">
        <v>1.7000000000000001E-2</v>
      </c>
      <c r="I354" s="129">
        <f t="shared" si="168"/>
        <v>0.66898581750066888</v>
      </c>
      <c r="J354" s="127">
        <f t="shared" si="169"/>
        <v>0.98879367172050103</v>
      </c>
      <c r="K354" s="130">
        <f t="shared" si="170"/>
        <v>0.40199241862919194</v>
      </c>
      <c r="L354" s="130">
        <f t="shared" si="171"/>
        <v>1.126959225823077E-2</v>
      </c>
      <c r="M354" s="131">
        <v>0.98802658709970492</v>
      </c>
      <c r="N354" s="131">
        <v>1.5168702371498987E-3</v>
      </c>
      <c r="O354" s="165"/>
      <c r="P354" s="168"/>
      <c r="Q354" s="171"/>
      <c r="R354" s="171"/>
      <c r="S354" s="132"/>
    </row>
    <row r="355" spans="1:19">
      <c r="A355" s="162"/>
      <c r="B355" s="133"/>
      <c r="C355" s="133"/>
      <c r="D355" s="133"/>
      <c r="E355" s="134">
        <v>1</v>
      </c>
      <c r="F355" s="134">
        <f>3.39/2</f>
        <v>1.6950000000000001</v>
      </c>
      <c r="G355" s="134">
        <v>0.71109999999999995</v>
      </c>
      <c r="H355" s="134">
        <v>3.0800000000000001E-2</v>
      </c>
      <c r="I355" s="129">
        <f t="shared" si="168"/>
        <v>0.58441937934661914</v>
      </c>
      <c r="J355" s="127">
        <f t="shared" si="169"/>
        <v>0.98215320431104414</v>
      </c>
      <c r="K355" s="130">
        <f t="shared" ref="K355" si="172">-LN(I355)</f>
        <v>0.53713643855578763</v>
      </c>
      <c r="L355" s="130">
        <f t="shared" ref="L355" si="173">-LN(J355)</f>
        <v>1.8007970259656517E-2</v>
      </c>
      <c r="M355" s="131">
        <v>247.55512784713687</v>
      </c>
      <c r="N355" s="131">
        <v>3</v>
      </c>
      <c r="O355" s="165"/>
      <c r="P355" s="168"/>
      <c r="Q355" s="171"/>
      <c r="R355" s="171"/>
      <c r="S355" s="132"/>
    </row>
    <row r="356" spans="1:19">
      <c r="A356" s="163"/>
      <c r="B356" s="133"/>
      <c r="C356" s="133"/>
      <c r="D356" s="133"/>
      <c r="E356" s="134"/>
      <c r="F356" s="134"/>
      <c r="G356" s="134"/>
      <c r="H356" s="134"/>
      <c r="I356" s="134"/>
      <c r="J356" s="134"/>
      <c r="K356" s="135"/>
      <c r="L356" s="135"/>
      <c r="M356" s="131">
        <v>5.6959843420219724E-4</v>
      </c>
      <c r="N356" s="131">
        <v>6.9026859490535695E-6</v>
      </c>
      <c r="O356" s="166"/>
      <c r="P356" s="169"/>
      <c r="Q356" s="172"/>
      <c r="R356" s="172"/>
      <c r="S356" s="136"/>
    </row>
    <row r="357" spans="1:19">
      <c r="A357" s="161" t="s">
        <v>948</v>
      </c>
      <c r="B357" s="118">
        <v>0.2</v>
      </c>
      <c r="C357" s="118">
        <v>0.2</v>
      </c>
      <c r="D357" s="119">
        <v>0.04</v>
      </c>
      <c r="E357" s="120">
        <v>1</v>
      </c>
      <c r="F357" s="120">
        <f>3.6687/3</f>
        <v>1.2228999999999999</v>
      </c>
      <c r="G357" s="120">
        <v>0.28110000000000002</v>
      </c>
      <c r="H357" s="121">
        <v>8.8999999999999999E-3</v>
      </c>
      <c r="I357" s="121">
        <f t="shared" ref="I357:I360" si="174">E357/(E357+G357)</f>
        <v>0.78057918975880114</v>
      </c>
      <c r="J357" s="120">
        <f t="shared" ref="J357:J360" si="175">F357/(F357+H357)</f>
        <v>0.99277480110407545</v>
      </c>
      <c r="K357" s="122">
        <f t="shared" ref="K357:K360" si="176">-LN(I357)</f>
        <v>0.24771908388025082</v>
      </c>
      <c r="L357" s="122">
        <f t="shared" ref="L357:L360" si="177">-LN(J357)</f>
        <v>7.251427057618583E-3</v>
      </c>
      <c r="M357" s="123" cm="1">
        <f t="array" ref="M357:N361">LINEST(L357:L360,K357:K360,FALSE,TRUE)</f>
        <v>2.6853288539345814E-2</v>
      </c>
      <c r="N357" s="123">
        <v>0</v>
      </c>
      <c r="O357" s="164">
        <f>TINV(0.32,N360)*M358</f>
        <v>7.1798896480475673E-4</v>
      </c>
      <c r="P357" s="167">
        <f>O357*100/M357</f>
        <v>2.6737468811417613</v>
      </c>
      <c r="Q357" s="170">
        <f>-1.99*273*LN(M357)/1000</f>
        <v>1.9652069632117553</v>
      </c>
      <c r="R357" s="170">
        <f>ABS(1.99*273*O357/M357/1000)</f>
        <v>1.4525664681178847E-2</v>
      </c>
      <c r="S357" s="124"/>
    </row>
    <row r="358" spans="1:19">
      <c r="A358" s="162"/>
      <c r="B358" s="125">
        <v>0.2</v>
      </c>
      <c r="C358" s="125">
        <v>0.2</v>
      </c>
      <c r="D358" s="126">
        <v>0.08</v>
      </c>
      <c r="E358" s="127">
        <v>1</v>
      </c>
      <c r="F358" s="127">
        <f>5.988/3</f>
        <v>1.9960000000000002</v>
      </c>
      <c r="G358" s="127">
        <v>1.1032999999999999</v>
      </c>
      <c r="H358" s="128">
        <v>3.9399999999999998E-2</v>
      </c>
      <c r="I358" s="129">
        <f t="shared" si="174"/>
        <v>0.47544335092473733</v>
      </c>
      <c r="J358" s="127">
        <f t="shared" si="175"/>
        <v>0.98064262552815173</v>
      </c>
      <c r="K358" s="130">
        <f t="shared" si="176"/>
        <v>0.74350753989889462</v>
      </c>
      <c r="L358" s="130">
        <f t="shared" si="177"/>
        <v>1.9547181886421874E-2</v>
      </c>
      <c r="M358" s="131">
        <v>6.0389576192921971E-4</v>
      </c>
      <c r="N358" s="131" t="e">
        <v>#N/A</v>
      </c>
      <c r="O358" s="165"/>
      <c r="P358" s="168"/>
      <c r="Q358" s="171"/>
      <c r="R358" s="171"/>
      <c r="S358" s="132"/>
    </row>
    <row r="359" spans="1:19">
      <c r="A359" s="162"/>
      <c r="B359" s="125">
        <v>0.2</v>
      </c>
      <c r="C359" s="125">
        <v>0.2</v>
      </c>
      <c r="D359" s="125">
        <v>0.12</v>
      </c>
      <c r="E359" s="127">
        <v>1</v>
      </c>
      <c r="F359" s="127">
        <f>6.3144/3</f>
        <v>2.1048</v>
      </c>
      <c r="G359" s="127">
        <v>1.2221</v>
      </c>
      <c r="H359" s="128">
        <v>4.2599999999999999E-2</v>
      </c>
      <c r="I359" s="129">
        <f t="shared" si="174"/>
        <v>0.45002475136132486</v>
      </c>
      <c r="J359" s="127">
        <f t="shared" si="175"/>
        <v>0.98016205644034637</v>
      </c>
      <c r="K359" s="130">
        <f t="shared" si="176"/>
        <v>0.79845269470521618</v>
      </c>
      <c r="L359" s="130">
        <f t="shared" si="177"/>
        <v>2.0037357273952238E-2</v>
      </c>
      <c r="M359" s="131">
        <v>0.99848507253915586</v>
      </c>
      <c r="N359" s="131">
        <v>1.0637423767496685E-3</v>
      </c>
      <c r="O359" s="165"/>
      <c r="P359" s="168"/>
      <c r="Q359" s="171"/>
      <c r="R359" s="171"/>
      <c r="S359" s="132"/>
    </row>
    <row r="360" spans="1:19">
      <c r="A360" s="162"/>
      <c r="B360" s="133"/>
      <c r="C360" s="133"/>
      <c r="D360" s="133"/>
      <c r="E360" s="134">
        <v>1</v>
      </c>
      <c r="F360" s="134">
        <f>11.0135/3</f>
        <v>3.6711666666666667</v>
      </c>
      <c r="G360" s="134">
        <v>2.8982999999999999</v>
      </c>
      <c r="H360" s="134">
        <v>0.14019999999999999</v>
      </c>
      <c r="I360" s="129">
        <f t="shared" si="174"/>
        <v>0.25652207372444402</v>
      </c>
      <c r="J360" s="127">
        <f t="shared" si="175"/>
        <v>0.96321529460123667</v>
      </c>
      <c r="K360" s="130">
        <f t="shared" si="176"/>
        <v>1.360540560668799</v>
      </c>
      <c r="L360" s="130">
        <f t="shared" si="177"/>
        <v>3.747832560718295E-2</v>
      </c>
      <c r="M360" s="131">
        <v>1977.2928374724743</v>
      </c>
      <c r="N360" s="131">
        <v>3</v>
      </c>
      <c r="O360" s="165"/>
      <c r="P360" s="168"/>
      <c r="Q360" s="171"/>
      <c r="R360" s="171"/>
      <c r="S360" s="132"/>
    </row>
    <row r="361" spans="1:19">
      <c r="A361" s="163"/>
      <c r="B361" s="133"/>
      <c r="C361" s="133"/>
      <c r="D361" s="133"/>
      <c r="E361" s="134"/>
      <c r="F361" s="134"/>
      <c r="G361" s="134"/>
      <c r="H361" s="134"/>
      <c r="I361" s="134"/>
      <c r="J361" s="134"/>
      <c r="K361" s="135"/>
      <c r="L361" s="135"/>
      <c r="M361" s="131">
        <v>2.2374014473825754E-3</v>
      </c>
      <c r="N361" s="131">
        <v>3.3946435322791012E-6</v>
      </c>
      <c r="O361" s="166"/>
      <c r="P361" s="169"/>
      <c r="Q361" s="172"/>
      <c r="R361" s="172"/>
      <c r="S361" s="136"/>
    </row>
    <row r="362" spans="1:19" s="19" customFormat="1">
      <c r="A362" s="182" t="s">
        <v>823</v>
      </c>
      <c r="B362" s="30">
        <v>0.2</v>
      </c>
      <c r="C362" s="30">
        <v>0.2</v>
      </c>
      <c r="D362" s="18">
        <v>0.08</v>
      </c>
      <c r="E362" s="31">
        <v>1</v>
      </c>
      <c r="F362" s="31">
        <v>6.81</v>
      </c>
      <c r="G362" s="31">
        <v>5.54</v>
      </c>
      <c r="H362" s="32">
        <v>0</v>
      </c>
      <c r="I362" s="32">
        <f t="shared" ref="I362:J364" si="178">E362/(E362+G362)</f>
        <v>0.1529051987767584</v>
      </c>
      <c r="J362" s="31">
        <f t="shared" si="178"/>
        <v>1</v>
      </c>
      <c r="K362" s="33">
        <f t="shared" ref="K362:L364" si="179">-LN(I362)</f>
        <v>1.8779371654691075</v>
      </c>
      <c r="L362" s="33">
        <f t="shared" si="179"/>
        <v>0</v>
      </c>
      <c r="M362" s="34" cm="1">
        <f t="array" ref="M362:N366">LINEST(L362:L364,K362:K364,FALSE,TRUE)</f>
        <v>5.4649384384938002E-3</v>
      </c>
      <c r="N362" s="34">
        <v>0</v>
      </c>
      <c r="O362" s="176">
        <f>TINV(0.32,N365)*M363</f>
        <v>1.9286474669605619E-3</v>
      </c>
      <c r="P362" s="179">
        <f>O362*100/M362</f>
        <v>35.291293555579728</v>
      </c>
      <c r="Q362" s="173">
        <f>-1.99*273*LN(M362)/1000</f>
        <v>2.8301120538556637</v>
      </c>
      <c r="R362" s="173">
        <f>ABS(1.99*273*O362/M362/1000)</f>
        <v>0.19172701049939797</v>
      </c>
      <c r="S362" s="19" t="s">
        <v>824</v>
      </c>
    </row>
    <row r="363" spans="1:19">
      <c r="A363" s="183" t="s">
        <v>825</v>
      </c>
      <c r="B363" s="22">
        <v>0.2</v>
      </c>
      <c r="C363" s="22">
        <v>0.2</v>
      </c>
      <c r="D363" s="15">
        <v>0.16</v>
      </c>
      <c r="E363" s="23">
        <v>1</v>
      </c>
      <c r="F363" s="23">
        <v>42.9</v>
      </c>
      <c r="G363" s="23">
        <v>40.5</v>
      </c>
      <c r="H363" s="27">
        <v>0.66</v>
      </c>
      <c r="I363" s="24">
        <f t="shared" si="178"/>
        <v>2.4096385542168676E-2</v>
      </c>
      <c r="J363" s="23">
        <f t="shared" si="178"/>
        <v>0.98484848484848497</v>
      </c>
      <c r="K363" s="25">
        <f t="shared" si="179"/>
        <v>3.7256934272366524</v>
      </c>
      <c r="L363" s="25">
        <f t="shared" si="179"/>
        <v>1.5267472130788308E-2</v>
      </c>
      <c r="M363" s="26">
        <v>1.4704781331779462E-3</v>
      </c>
      <c r="N363" s="26" t="e">
        <v>#N/A</v>
      </c>
      <c r="O363" s="177"/>
      <c r="P363" s="180"/>
      <c r="Q363" s="174"/>
      <c r="R363" s="174"/>
      <c r="S363" s="1" t="s">
        <v>824</v>
      </c>
    </row>
    <row r="364" spans="1:19">
      <c r="A364" s="183" t="s">
        <v>826</v>
      </c>
      <c r="B364" s="22">
        <v>0.2</v>
      </c>
      <c r="C364" s="22">
        <v>0.2</v>
      </c>
      <c r="D364" s="22">
        <v>0.24</v>
      </c>
      <c r="E364" s="23">
        <v>1</v>
      </c>
      <c r="F364" s="23">
        <v>169.5</v>
      </c>
      <c r="G364" s="23">
        <v>162.4</v>
      </c>
      <c r="H364" s="27">
        <v>6.1</v>
      </c>
      <c r="I364" s="24">
        <f t="shared" si="178"/>
        <v>6.1199510403916763E-3</v>
      </c>
      <c r="J364" s="23">
        <f t="shared" si="178"/>
        <v>0.96526195899772216</v>
      </c>
      <c r="K364" s="25">
        <f t="shared" si="179"/>
        <v>5.0962011824259026</v>
      </c>
      <c r="L364" s="25">
        <f t="shared" si="179"/>
        <v>3.5355754380511271E-2</v>
      </c>
      <c r="M364" s="26">
        <v>0.87351298232499108</v>
      </c>
      <c r="N364" s="26">
        <v>9.6849384957481272E-3</v>
      </c>
      <c r="O364" s="177"/>
      <c r="P364" s="180"/>
      <c r="Q364" s="174"/>
      <c r="R364" s="174"/>
      <c r="S364" s="1" t="s">
        <v>824</v>
      </c>
    </row>
    <row r="365" spans="1:19">
      <c r="A365" s="183"/>
      <c r="B365" s="45"/>
      <c r="C365" s="45"/>
      <c r="D365" s="45"/>
      <c r="E365" s="46"/>
      <c r="F365" s="46"/>
      <c r="G365" s="46"/>
      <c r="H365" s="46"/>
      <c r="I365" s="46"/>
      <c r="J365" s="46"/>
      <c r="K365" s="47"/>
      <c r="L365" s="47"/>
      <c r="M365" s="26">
        <v>13.811899408828864</v>
      </c>
      <c r="N365" s="26">
        <v>2</v>
      </c>
      <c r="O365" s="177"/>
      <c r="P365" s="180"/>
      <c r="Q365" s="174"/>
      <c r="R365" s="174"/>
      <c r="S365" s="47"/>
    </row>
    <row r="366" spans="1:19">
      <c r="A366" s="184"/>
      <c r="B366" s="45"/>
      <c r="C366" s="45"/>
      <c r="D366" s="45"/>
      <c r="E366" s="46"/>
      <c r="F366" s="46"/>
      <c r="G366" s="46"/>
      <c r="H366" s="46"/>
      <c r="I366" s="46"/>
      <c r="J366" s="46"/>
      <c r="K366" s="47"/>
      <c r="L366" s="47"/>
      <c r="M366" s="26">
        <v>1.2955290057465917E-3</v>
      </c>
      <c r="N366" s="26">
        <v>1.8759606733284801E-4</v>
      </c>
      <c r="O366" s="178"/>
      <c r="P366" s="181"/>
      <c r="Q366" s="175"/>
      <c r="R366" s="175"/>
      <c r="S366" s="47"/>
    </row>
    <row r="367" spans="1:19">
      <c r="A367" s="161" t="s">
        <v>936</v>
      </c>
      <c r="B367" s="118">
        <v>0.2</v>
      </c>
      <c r="C367" s="118">
        <v>0.2</v>
      </c>
      <c r="D367" s="119">
        <v>0.04</v>
      </c>
      <c r="E367" s="120">
        <v>1</v>
      </c>
      <c r="F367" s="120">
        <v>4.0183999999999997</v>
      </c>
      <c r="G367" s="120">
        <v>0.33550000000000002</v>
      </c>
      <c r="H367" s="121"/>
      <c r="I367" s="121">
        <f t="shared" ref="I367:I370" si="180">E367/(E367+G367)</f>
        <v>0.74878322725570945</v>
      </c>
      <c r="J367" s="120">
        <f t="shared" ref="J367:J370" si="181">F367/(F367+H367)</f>
        <v>1</v>
      </c>
      <c r="K367" s="122">
        <f t="shared" ref="K367:K370" si="182">-LN(I367)</f>
        <v>0.28930575356787852</v>
      </c>
      <c r="L367" s="122">
        <f t="shared" ref="L367:L370" si="183">-LN(J367)</f>
        <v>0</v>
      </c>
      <c r="M367" s="123" t="e" cm="1">
        <f t="array" ref="M367">LINEST(L367:L370,K367:K370,FALSE,TRUE)</f>
        <v>#VALUE!</v>
      </c>
      <c r="N367" s="123"/>
      <c r="O367" s="164" t="e">
        <f>TINV(0.32,N370)*M368</f>
        <v>#NUM!</v>
      </c>
      <c r="P367" s="167" t="e">
        <f>O367*100/M367</f>
        <v>#NUM!</v>
      </c>
      <c r="Q367" s="170" t="e">
        <f>-1.99*273*LN(M367)/1000</f>
        <v>#VALUE!</v>
      </c>
      <c r="R367" s="170" t="e">
        <f>ABS(1.99*273*O367/M367/1000)</f>
        <v>#NUM!</v>
      </c>
      <c r="S367" s="124"/>
    </row>
    <row r="368" spans="1:19">
      <c r="A368" s="162"/>
      <c r="B368" s="125">
        <v>0.2</v>
      </c>
      <c r="C368" s="125">
        <v>0.2</v>
      </c>
      <c r="D368" s="126">
        <v>0.08</v>
      </c>
      <c r="E368" s="127">
        <v>1</v>
      </c>
      <c r="F368" s="127"/>
      <c r="G368" s="127">
        <v>0.65510000000000002</v>
      </c>
      <c r="H368" s="128"/>
      <c r="I368" s="129">
        <f t="shared" si="180"/>
        <v>0.60419310011479666</v>
      </c>
      <c r="J368" s="127" t="e">
        <f t="shared" si="181"/>
        <v>#DIV/0!</v>
      </c>
      <c r="K368" s="130">
        <f t="shared" si="182"/>
        <v>0.50386142996435779</v>
      </c>
      <c r="L368" s="130" t="e">
        <f t="shared" si="183"/>
        <v>#DIV/0!</v>
      </c>
      <c r="M368" s="131"/>
      <c r="N368" s="131"/>
      <c r="O368" s="165"/>
      <c r="P368" s="168"/>
      <c r="Q368" s="171"/>
      <c r="R368" s="171"/>
      <c r="S368" s="132"/>
    </row>
    <row r="369" spans="1:19">
      <c r="A369" s="162"/>
      <c r="B369" s="125">
        <v>0.2</v>
      </c>
      <c r="C369" s="125">
        <v>0.2</v>
      </c>
      <c r="D369" s="125">
        <v>0.12</v>
      </c>
      <c r="E369" s="127">
        <v>1</v>
      </c>
      <c r="F369" s="127"/>
      <c r="G369" s="127">
        <v>1.3039000000000001</v>
      </c>
      <c r="H369" s="128"/>
      <c r="I369" s="129">
        <f t="shared" si="180"/>
        <v>0.43404661660662353</v>
      </c>
      <c r="J369" s="127" t="e">
        <f t="shared" si="181"/>
        <v>#DIV/0!</v>
      </c>
      <c r="K369" s="130">
        <f t="shared" si="182"/>
        <v>0.83460333911393925</v>
      </c>
      <c r="L369" s="130" t="e">
        <f t="shared" si="183"/>
        <v>#DIV/0!</v>
      </c>
      <c r="M369" s="131"/>
      <c r="N369" s="131"/>
      <c r="O369" s="165"/>
      <c r="P369" s="168"/>
      <c r="Q369" s="171"/>
      <c r="R369" s="171"/>
      <c r="S369" s="132"/>
    </row>
    <row r="370" spans="1:19">
      <c r="A370" s="162"/>
      <c r="B370" s="133"/>
      <c r="C370" s="133"/>
      <c r="D370" s="133"/>
      <c r="E370" s="134">
        <v>1</v>
      </c>
      <c r="F370" s="134"/>
      <c r="G370" s="134">
        <v>1.4907999999999999</v>
      </c>
      <c r="H370" s="134"/>
      <c r="I370" s="129">
        <f t="shared" si="180"/>
        <v>0.40147743696804239</v>
      </c>
      <c r="J370" s="127" t="e">
        <f t="shared" si="181"/>
        <v>#DIV/0!</v>
      </c>
      <c r="K370" s="130">
        <f t="shared" si="182"/>
        <v>0.91260394401615985</v>
      </c>
      <c r="L370" s="130" t="e">
        <f t="shared" si="183"/>
        <v>#DIV/0!</v>
      </c>
      <c r="M370" s="131"/>
      <c r="N370" s="131"/>
      <c r="O370" s="165"/>
      <c r="P370" s="168"/>
      <c r="Q370" s="171"/>
      <c r="R370" s="171"/>
      <c r="S370" s="132"/>
    </row>
    <row r="371" spans="1:19">
      <c r="A371" s="163"/>
      <c r="B371" s="133"/>
      <c r="C371" s="133"/>
      <c r="D371" s="133"/>
      <c r="E371" s="134"/>
      <c r="F371" s="134"/>
      <c r="G371" s="134"/>
      <c r="H371" s="134"/>
      <c r="I371" s="134"/>
      <c r="J371" s="134"/>
      <c r="K371" s="135"/>
      <c r="L371" s="135"/>
      <c r="M371" s="131"/>
      <c r="N371" s="131"/>
      <c r="O371" s="166"/>
      <c r="P371" s="169"/>
      <c r="Q371" s="172"/>
      <c r="R371" s="172"/>
      <c r="S371" s="136"/>
    </row>
  </sheetData>
  <mergeCells count="352">
    <mergeCell ref="A367:A371"/>
    <mergeCell ref="O367:O371"/>
    <mergeCell ref="P367:P371"/>
    <mergeCell ref="Q367:Q371"/>
    <mergeCell ref="R367:R371"/>
    <mergeCell ref="O96:O100"/>
    <mergeCell ref="P96:P100"/>
    <mergeCell ref="Q96:Q100"/>
    <mergeCell ref="R96:R100"/>
    <mergeCell ref="A357:A361"/>
    <mergeCell ref="O357:O361"/>
    <mergeCell ref="P357:P361"/>
    <mergeCell ref="Q357:Q361"/>
    <mergeCell ref="R357:R361"/>
    <mergeCell ref="A322:A326"/>
    <mergeCell ref="O322:O326"/>
    <mergeCell ref="P322:P326"/>
    <mergeCell ref="Q322:Q326"/>
    <mergeCell ref="R322:R326"/>
    <mergeCell ref="O86:O90"/>
    <mergeCell ref="P86:P90"/>
    <mergeCell ref="Q86:Q90"/>
    <mergeCell ref="R86:R90"/>
    <mergeCell ref="A91:A95"/>
    <mergeCell ref="O91:O95"/>
    <mergeCell ref="P91:P95"/>
    <mergeCell ref="Q91:Q95"/>
    <mergeCell ref="R91:R95"/>
    <mergeCell ref="A342:A346"/>
    <mergeCell ref="A347:A351"/>
    <mergeCell ref="A362:A366"/>
    <mergeCell ref="O332:O336"/>
    <mergeCell ref="P332:P336"/>
    <mergeCell ref="Q332:Q336"/>
    <mergeCell ref="R332:R336"/>
    <mergeCell ref="O342:O346"/>
    <mergeCell ref="P342:P346"/>
    <mergeCell ref="Q342:Q346"/>
    <mergeCell ref="R342:R346"/>
    <mergeCell ref="O347:O351"/>
    <mergeCell ref="A332:A336"/>
    <mergeCell ref="A337:A341"/>
    <mergeCell ref="A106:A110"/>
    <mergeCell ref="O106:O110"/>
    <mergeCell ref="P106:P110"/>
    <mergeCell ref="Q106:Q110"/>
    <mergeCell ref="R106:R110"/>
    <mergeCell ref="A202:A206"/>
    <mergeCell ref="O202:O206"/>
    <mergeCell ref="P202:P206"/>
    <mergeCell ref="Q202:Q206"/>
    <mergeCell ref="R202:R206"/>
    <mergeCell ref="A118:A122"/>
    <mergeCell ref="O118:O122"/>
    <mergeCell ref="P118:P122"/>
    <mergeCell ref="Q118:Q122"/>
    <mergeCell ref="R118:R122"/>
    <mergeCell ref="A298:A302"/>
    <mergeCell ref="A315:A319"/>
    <mergeCell ref="A278:A282"/>
    <mergeCell ref="A283:A287"/>
    <mergeCell ref="A288:A292"/>
    <mergeCell ref="A293:A297"/>
    <mergeCell ref="A305:A309"/>
    <mergeCell ref="A310:A314"/>
    <mergeCell ref="A327:A331"/>
    <mergeCell ref="A233:A237"/>
    <mergeCell ref="A243:A247"/>
    <mergeCell ref="A238:A242"/>
    <mergeCell ref="A248:A252"/>
    <mergeCell ref="A253:A257"/>
    <mergeCell ref="A258:A262"/>
    <mergeCell ref="A263:A267"/>
    <mergeCell ref="A268:A272"/>
    <mergeCell ref="A273:A277"/>
    <mergeCell ref="A226:A232"/>
    <mergeCell ref="O226:O232"/>
    <mergeCell ref="P226:P232"/>
    <mergeCell ref="Q226:Q232"/>
    <mergeCell ref="R226:R232"/>
    <mergeCell ref="A170:A174"/>
    <mergeCell ref="A165:A169"/>
    <mergeCell ref="A177:A181"/>
    <mergeCell ref="A182:A186"/>
    <mergeCell ref="A192:A196"/>
    <mergeCell ref="A197:A201"/>
    <mergeCell ref="A209:A213"/>
    <mergeCell ref="A216:A220"/>
    <mergeCell ref="A221:A225"/>
    <mergeCell ref="O177:O181"/>
    <mergeCell ref="P177:P181"/>
    <mergeCell ref="Q177:Q181"/>
    <mergeCell ref="R177:R181"/>
    <mergeCell ref="O216:O220"/>
    <mergeCell ref="P216:P220"/>
    <mergeCell ref="Q216:Q220"/>
    <mergeCell ref="R216:R220"/>
    <mergeCell ref="O209:O213"/>
    <mergeCell ref="P209:P213"/>
    <mergeCell ref="A113:A117"/>
    <mergeCell ref="A123:A127"/>
    <mergeCell ref="A128:A132"/>
    <mergeCell ref="A133:A137"/>
    <mergeCell ref="A138:A142"/>
    <mergeCell ref="A143:A147"/>
    <mergeCell ref="A150:A154"/>
    <mergeCell ref="A155:A159"/>
    <mergeCell ref="A160:A164"/>
    <mergeCell ref="A54:A58"/>
    <mergeCell ref="A59:A63"/>
    <mergeCell ref="A64:A68"/>
    <mergeCell ref="A71:A75"/>
    <mergeCell ref="A76:A80"/>
    <mergeCell ref="A81:A85"/>
    <mergeCell ref="A101:A105"/>
    <mergeCell ref="A3:A7"/>
    <mergeCell ref="A8:A12"/>
    <mergeCell ref="A15:A19"/>
    <mergeCell ref="A22:A26"/>
    <mergeCell ref="A27:A31"/>
    <mergeCell ref="A34:A38"/>
    <mergeCell ref="A39:A43"/>
    <mergeCell ref="A44:A48"/>
    <mergeCell ref="A49:A53"/>
    <mergeCell ref="A86:A90"/>
    <mergeCell ref="A96:A100"/>
    <mergeCell ref="M2:N2"/>
    <mergeCell ref="O1:P1"/>
    <mergeCell ref="Q1:R1"/>
    <mergeCell ref="B1:D1"/>
    <mergeCell ref="E1:H1"/>
    <mergeCell ref="I1:J1"/>
    <mergeCell ref="K1:L1"/>
    <mergeCell ref="O15:O19"/>
    <mergeCell ref="P15:P19"/>
    <mergeCell ref="Q15:Q19"/>
    <mergeCell ref="R15:R19"/>
    <mergeCell ref="O22:O26"/>
    <mergeCell ref="P22:P26"/>
    <mergeCell ref="Q22:Q26"/>
    <mergeCell ref="R22:R26"/>
    <mergeCell ref="O3:O7"/>
    <mergeCell ref="P3:P7"/>
    <mergeCell ref="Q3:Q7"/>
    <mergeCell ref="R3:R7"/>
    <mergeCell ref="O8:O12"/>
    <mergeCell ref="P8:P12"/>
    <mergeCell ref="Q8:Q12"/>
    <mergeCell ref="R8:R12"/>
    <mergeCell ref="O39:O43"/>
    <mergeCell ref="P39:P43"/>
    <mergeCell ref="Q39:Q43"/>
    <mergeCell ref="R39:R43"/>
    <mergeCell ref="O44:O48"/>
    <mergeCell ref="P44:P48"/>
    <mergeCell ref="Q44:Q48"/>
    <mergeCell ref="R44:R48"/>
    <mergeCell ref="O27:O31"/>
    <mergeCell ref="P27:P31"/>
    <mergeCell ref="Q27:Q31"/>
    <mergeCell ref="R27:R31"/>
    <mergeCell ref="O34:O38"/>
    <mergeCell ref="P34:P38"/>
    <mergeCell ref="Q34:Q38"/>
    <mergeCell ref="R34:R38"/>
    <mergeCell ref="O59:O63"/>
    <mergeCell ref="P59:P63"/>
    <mergeCell ref="Q59:Q63"/>
    <mergeCell ref="R59:R63"/>
    <mergeCell ref="O64:O68"/>
    <mergeCell ref="P64:P68"/>
    <mergeCell ref="Q64:Q68"/>
    <mergeCell ref="R64:R68"/>
    <mergeCell ref="O49:O53"/>
    <mergeCell ref="P49:P53"/>
    <mergeCell ref="Q49:Q53"/>
    <mergeCell ref="R49:R53"/>
    <mergeCell ref="O54:O58"/>
    <mergeCell ref="P54:P58"/>
    <mergeCell ref="Q54:Q58"/>
    <mergeCell ref="R54:R58"/>
    <mergeCell ref="O76:O80"/>
    <mergeCell ref="P76:P80"/>
    <mergeCell ref="Q76:Q80"/>
    <mergeCell ref="R76:R80"/>
    <mergeCell ref="O71:O75"/>
    <mergeCell ref="P71:P75"/>
    <mergeCell ref="Q71:Q75"/>
    <mergeCell ref="R71:R75"/>
    <mergeCell ref="O81:O85"/>
    <mergeCell ref="P81:P85"/>
    <mergeCell ref="Q81:Q85"/>
    <mergeCell ref="R81:R85"/>
    <mergeCell ref="O113:O117"/>
    <mergeCell ref="P113:P117"/>
    <mergeCell ref="Q113:Q117"/>
    <mergeCell ref="R113:R117"/>
    <mergeCell ref="O101:O105"/>
    <mergeCell ref="P101:P105"/>
    <mergeCell ref="Q101:Q105"/>
    <mergeCell ref="R101:R105"/>
    <mergeCell ref="O138:O142"/>
    <mergeCell ref="P138:P142"/>
    <mergeCell ref="Q138:Q142"/>
    <mergeCell ref="R138:R142"/>
    <mergeCell ref="O133:O137"/>
    <mergeCell ref="P133:P137"/>
    <mergeCell ref="Q133:Q137"/>
    <mergeCell ref="R133:R137"/>
    <mergeCell ref="O123:O127"/>
    <mergeCell ref="P123:P127"/>
    <mergeCell ref="Q123:Q127"/>
    <mergeCell ref="R123:R127"/>
    <mergeCell ref="O128:O132"/>
    <mergeCell ref="P128:P132"/>
    <mergeCell ref="Q128:Q132"/>
    <mergeCell ref="R128:R132"/>
    <mergeCell ref="O143:O147"/>
    <mergeCell ref="P143:P147"/>
    <mergeCell ref="Q143:Q147"/>
    <mergeCell ref="R143:R147"/>
    <mergeCell ref="O150:O154"/>
    <mergeCell ref="P150:P154"/>
    <mergeCell ref="Q150:Q154"/>
    <mergeCell ref="R150:R154"/>
    <mergeCell ref="O155:O159"/>
    <mergeCell ref="P155:P159"/>
    <mergeCell ref="Q155:Q159"/>
    <mergeCell ref="R155:R159"/>
    <mergeCell ref="O160:O164"/>
    <mergeCell ref="P160:P164"/>
    <mergeCell ref="Q160:Q164"/>
    <mergeCell ref="R160:R164"/>
    <mergeCell ref="O170:O174"/>
    <mergeCell ref="P170:P174"/>
    <mergeCell ref="Q170:Q174"/>
    <mergeCell ref="R170:R174"/>
    <mergeCell ref="O182:O186"/>
    <mergeCell ref="P182:P186"/>
    <mergeCell ref="Q182:Q186"/>
    <mergeCell ref="R182:R186"/>
    <mergeCell ref="O165:O169"/>
    <mergeCell ref="P165:P169"/>
    <mergeCell ref="Q165:Q169"/>
    <mergeCell ref="R165:R169"/>
    <mergeCell ref="O310:O314"/>
    <mergeCell ref="P310:P314"/>
    <mergeCell ref="Q310:Q314"/>
    <mergeCell ref="R310:R314"/>
    <mergeCell ref="Q209:Q213"/>
    <mergeCell ref="R209:R213"/>
    <mergeCell ref="O192:O196"/>
    <mergeCell ref="P192:P196"/>
    <mergeCell ref="Q192:Q196"/>
    <mergeCell ref="R192:R196"/>
    <mergeCell ref="O197:O201"/>
    <mergeCell ref="P197:P201"/>
    <mergeCell ref="Q197:Q201"/>
    <mergeCell ref="R197:R201"/>
    <mergeCell ref="P268:P272"/>
    <mergeCell ref="Q268:Q272"/>
    <mergeCell ref="O305:O309"/>
    <mergeCell ref="P305:P309"/>
    <mergeCell ref="Q305:Q309"/>
    <mergeCell ref="R305:R309"/>
    <mergeCell ref="O288:O292"/>
    <mergeCell ref="P288:P292"/>
    <mergeCell ref="Q288:Q292"/>
    <mergeCell ref="O243:O247"/>
    <mergeCell ref="P243:P247"/>
    <mergeCell ref="Q243:Q247"/>
    <mergeCell ref="R243:R247"/>
    <mergeCell ref="O238:O242"/>
    <mergeCell ref="P238:P242"/>
    <mergeCell ref="Q238:Q242"/>
    <mergeCell ref="R238:R242"/>
    <mergeCell ref="O258:O262"/>
    <mergeCell ref="P258:P262"/>
    <mergeCell ref="Q258:Q262"/>
    <mergeCell ref="R258:R262"/>
    <mergeCell ref="O327:O331"/>
    <mergeCell ref="P327:P331"/>
    <mergeCell ref="Q327:Q331"/>
    <mergeCell ref="R327:R331"/>
    <mergeCell ref="O253:O257"/>
    <mergeCell ref="P253:P257"/>
    <mergeCell ref="Q253:Q257"/>
    <mergeCell ref="R253:R257"/>
    <mergeCell ref="O248:O252"/>
    <mergeCell ref="P248:P252"/>
    <mergeCell ref="Q248:Q252"/>
    <mergeCell ref="R248:R252"/>
    <mergeCell ref="O263:O267"/>
    <mergeCell ref="P263:P267"/>
    <mergeCell ref="Q263:Q267"/>
    <mergeCell ref="R263:R267"/>
    <mergeCell ref="O315:O319"/>
    <mergeCell ref="O283:O287"/>
    <mergeCell ref="P283:P287"/>
    <mergeCell ref="Q283:Q287"/>
    <mergeCell ref="R283:R287"/>
    <mergeCell ref="P315:P319"/>
    <mergeCell ref="R268:R272"/>
    <mergeCell ref="O268:O272"/>
    <mergeCell ref="R337:R341"/>
    <mergeCell ref="O362:O366"/>
    <mergeCell ref="P362:P366"/>
    <mergeCell ref="Q362:Q366"/>
    <mergeCell ref="R362:R366"/>
    <mergeCell ref="P347:P351"/>
    <mergeCell ref="Q347:Q351"/>
    <mergeCell ref="R347:R351"/>
    <mergeCell ref="O221:O225"/>
    <mergeCell ref="P221:P225"/>
    <mergeCell ref="Q221:Q225"/>
    <mergeCell ref="R221:R225"/>
    <mergeCell ref="O273:O277"/>
    <mergeCell ref="P273:P277"/>
    <mergeCell ref="Q273:Q277"/>
    <mergeCell ref="R273:R277"/>
    <mergeCell ref="O278:O282"/>
    <mergeCell ref="P278:P282"/>
    <mergeCell ref="Q278:Q282"/>
    <mergeCell ref="R278:R282"/>
    <mergeCell ref="O233:O237"/>
    <mergeCell ref="P233:P237"/>
    <mergeCell ref="Q233:Q237"/>
    <mergeCell ref="R233:R237"/>
    <mergeCell ref="A187:A191"/>
    <mergeCell ref="O187:O191"/>
    <mergeCell ref="P187:P191"/>
    <mergeCell ref="Q187:Q191"/>
    <mergeCell ref="R187:R191"/>
    <mergeCell ref="A352:A356"/>
    <mergeCell ref="O352:O356"/>
    <mergeCell ref="P352:P356"/>
    <mergeCell ref="Q315:Q319"/>
    <mergeCell ref="R315:R319"/>
    <mergeCell ref="R288:R292"/>
    <mergeCell ref="O293:O297"/>
    <mergeCell ref="P293:P297"/>
    <mergeCell ref="Q293:Q297"/>
    <mergeCell ref="R293:R297"/>
    <mergeCell ref="O298:O302"/>
    <mergeCell ref="P298:P302"/>
    <mergeCell ref="Q298:Q302"/>
    <mergeCell ref="R298:R302"/>
    <mergeCell ref="Q352:Q356"/>
    <mergeCell ref="R352:R356"/>
    <mergeCell ref="O337:O341"/>
    <mergeCell ref="P337:P341"/>
    <mergeCell ref="Q337:Q341"/>
  </mergeCells>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813D-FFEC-402A-AD4F-BE18581EA7E4}">
  <dimension ref="A1:S37"/>
  <sheetViews>
    <sheetView zoomScale="75" workbookViewId="0">
      <pane xSplit="1" ySplit="2" topLeftCell="B15" activePane="bottomRight" state="frozen"/>
      <selection pane="topRight" activeCell="B1" sqref="B1"/>
      <selection pane="bottomLeft" activeCell="A3" sqref="A3"/>
      <selection pane="bottomRight" activeCell="E29" sqref="E29"/>
    </sheetView>
  </sheetViews>
  <sheetFormatPr baseColWidth="10" defaultColWidth="9" defaultRowHeight="13"/>
  <cols>
    <col min="1" max="1" width="37.6640625" style="81" bestFit="1" customWidth="1"/>
    <col min="2" max="2" width="16.5" style="3" bestFit="1" customWidth="1"/>
    <col min="3" max="3" width="10.6640625" style="3" customWidth="1"/>
    <col min="4" max="4" width="9.33203125" style="3" bestFit="1" customWidth="1"/>
    <col min="5" max="5" width="13.33203125" style="4" customWidth="1"/>
    <col min="6" max="6" width="10.1640625" style="4" customWidth="1"/>
    <col min="7" max="7" width="9.1640625" style="4" bestFit="1" customWidth="1"/>
    <col min="8" max="8" width="8.6640625" style="4" bestFit="1" customWidth="1"/>
    <col min="9" max="10" width="11.6640625" style="4" bestFit="1" customWidth="1"/>
    <col min="11" max="12" width="10.6640625" style="5" bestFit="1" customWidth="1"/>
    <col min="13" max="14" width="12.6640625" style="2" bestFit="1" customWidth="1"/>
    <col min="15" max="15" width="11.6640625" style="2" customWidth="1"/>
    <col min="16" max="17" width="11.1640625" style="2" bestFit="1" customWidth="1"/>
    <col min="18" max="18" width="9.1640625" style="2" bestFit="1" customWidth="1"/>
    <col min="19" max="16384" width="9" style="2"/>
  </cols>
  <sheetData>
    <row r="1" spans="1:19" s="86" customFormat="1" ht="15">
      <c r="B1" s="159" t="s">
        <v>703</v>
      </c>
      <c r="C1" s="159"/>
      <c r="D1" s="159"/>
      <c r="E1" s="160" t="s">
        <v>704</v>
      </c>
      <c r="F1" s="160"/>
      <c r="G1" s="160"/>
      <c r="H1" s="160"/>
      <c r="I1" s="186"/>
      <c r="J1" s="186"/>
      <c r="K1" s="187"/>
      <c r="L1" s="187"/>
      <c r="O1" s="159" t="s">
        <v>705</v>
      </c>
      <c r="P1" s="159"/>
      <c r="Q1" s="159" t="s">
        <v>706</v>
      </c>
      <c r="R1" s="159"/>
      <c r="S1" s="86" t="s">
        <v>721</v>
      </c>
    </row>
    <row r="2" spans="1:19" s="101" customFormat="1" ht="15">
      <c r="A2" s="90" t="s">
        <v>707</v>
      </c>
      <c r="B2" s="95" t="s">
        <v>708</v>
      </c>
      <c r="C2" s="95" t="s">
        <v>707</v>
      </c>
      <c r="D2" s="95" t="s">
        <v>709</v>
      </c>
      <c r="E2" s="96" t="s">
        <v>708</v>
      </c>
      <c r="F2" s="96" t="s">
        <v>707</v>
      </c>
      <c r="G2" s="96" t="s">
        <v>710</v>
      </c>
      <c r="H2" s="96" t="s">
        <v>711</v>
      </c>
      <c r="I2" s="96" t="s">
        <v>712</v>
      </c>
      <c r="J2" s="96" t="s">
        <v>713</v>
      </c>
      <c r="K2" s="97" t="s">
        <v>714</v>
      </c>
      <c r="L2" s="97" t="s">
        <v>715</v>
      </c>
      <c r="M2" s="191" t="s">
        <v>716</v>
      </c>
      <c r="N2" s="191"/>
      <c r="O2" s="98" t="s">
        <v>717</v>
      </c>
      <c r="P2" s="99" t="s">
        <v>718</v>
      </c>
      <c r="Q2" s="100" t="s">
        <v>719</v>
      </c>
      <c r="R2" s="100" t="s">
        <v>720</v>
      </c>
    </row>
    <row r="3" spans="1:19" s="19" customFormat="1">
      <c r="A3" s="182" t="s">
        <v>759</v>
      </c>
      <c r="B3" s="30">
        <v>0.2</v>
      </c>
      <c r="C3" s="30">
        <v>0.2</v>
      </c>
      <c r="D3" s="18">
        <v>0.04</v>
      </c>
      <c r="E3" s="31">
        <v>1</v>
      </c>
      <c r="F3" s="31">
        <v>0.65</v>
      </c>
      <c r="G3" s="31">
        <v>8.0000000000000002E-3</v>
      </c>
      <c r="H3" s="32">
        <v>0.4</v>
      </c>
      <c r="I3" s="32">
        <f t="shared" ref="I3:J5" si="0">E3/(E3+G3)</f>
        <v>0.99206349206349209</v>
      </c>
      <c r="J3" s="31">
        <f t="shared" si="0"/>
        <v>0.61904761904761907</v>
      </c>
      <c r="K3" s="33">
        <f>-LN(I3)</f>
        <v>7.9681696491768449E-3</v>
      </c>
      <c r="L3" s="33">
        <f t="shared" ref="L3:L5" si="1">-LN(J3)</f>
        <v>0.47957308026188622</v>
      </c>
      <c r="M3" s="34" cm="1">
        <f t="array" ref="M3:N7">LINEST(L3:L5,K3:K5,FALSE,TRUE)</f>
        <v>52.405369069462793</v>
      </c>
      <c r="N3" s="34">
        <v>0</v>
      </c>
      <c r="O3" s="176">
        <f>TINV(0.32,N6)*M4</f>
        <v>4.4938311533004951</v>
      </c>
      <c r="P3" s="179">
        <f>O3*100/M3</f>
        <v>8.5751350159255004</v>
      </c>
      <c r="Q3" s="173">
        <f>-1.99*273*LN(M3)/1000</f>
        <v>-2.1508108461782744</v>
      </c>
      <c r="R3" s="173">
        <f>ABS(1.99*273*O3/M3/1000)</f>
        <v>4.6586136001018456E-2</v>
      </c>
      <c r="S3" s="79"/>
    </row>
    <row r="4" spans="1:19" s="1" customFormat="1">
      <c r="A4" s="183" t="s">
        <v>827</v>
      </c>
      <c r="B4" s="22">
        <v>0.2</v>
      </c>
      <c r="C4" s="22">
        <v>0.2</v>
      </c>
      <c r="D4" s="15">
        <v>0.08</v>
      </c>
      <c r="E4" s="23">
        <v>1</v>
      </c>
      <c r="F4" s="23">
        <v>0.44</v>
      </c>
      <c r="G4" s="23">
        <v>1.4E-2</v>
      </c>
      <c r="H4" s="27">
        <v>0.56999999999999995</v>
      </c>
      <c r="I4" s="24">
        <f t="shared" si="0"/>
        <v>0.98619329388560162</v>
      </c>
      <c r="J4" s="23">
        <f t="shared" si="0"/>
        <v>0.43564356435643564</v>
      </c>
      <c r="K4" s="25">
        <f>-LN(I4)</f>
        <v>1.390290516899138E-2</v>
      </c>
      <c r="L4" s="25">
        <f t="shared" si="1"/>
        <v>0.83093088292299833</v>
      </c>
      <c r="M4" s="26">
        <v>3.4262769937609003</v>
      </c>
      <c r="N4" s="26" t="e">
        <v>#N/A</v>
      </c>
      <c r="O4" s="177"/>
      <c r="P4" s="180"/>
      <c r="Q4" s="174"/>
      <c r="R4" s="174"/>
      <c r="S4" s="55"/>
    </row>
    <row r="5" spans="1:19" s="1" customFormat="1">
      <c r="A5" s="183" t="s">
        <v>828</v>
      </c>
      <c r="B5" s="22">
        <v>0.2</v>
      </c>
      <c r="C5" s="22">
        <v>0.2</v>
      </c>
      <c r="D5" s="22">
        <v>0.12</v>
      </c>
      <c r="E5" s="23">
        <v>1</v>
      </c>
      <c r="F5" s="23">
        <v>0.32</v>
      </c>
      <c r="G5" s="23">
        <v>2.5000000000000001E-2</v>
      </c>
      <c r="H5" s="27">
        <v>0.76</v>
      </c>
      <c r="I5" s="24">
        <f t="shared" si="0"/>
        <v>0.97560975609756106</v>
      </c>
      <c r="J5" s="23">
        <f t="shared" si="0"/>
        <v>0.29629629629629628</v>
      </c>
      <c r="K5" s="25">
        <f>-LN(I5)</f>
        <v>2.4692612590371411E-2</v>
      </c>
      <c r="L5" s="25">
        <f t="shared" si="1"/>
        <v>1.2163953243244932</v>
      </c>
      <c r="M5" s="26">
        <v>0.99152331008046657</v>
      </c>
      <c r="N5" s="26">
        <v>0.10085760761453524</v>
      </c>
      <c r="O5" s="177"/>
      <c r="P5" s="180"/>
      <c r="Q5" s="174"/>
      <c r="R5" s="174"/>
      <c r="S5" s="55"/>
    </row>
    <row r="6" spans="1:19" s="1" customFormat="1">
      <c r="A6" s="183"/>
      <c r="B6" s="28"/>
      <c r="C6" s="28"/>
      <c r="D6" s="28"/>
      <c r="E6" s="28"/>
      <c r="F6" s="28"/>
      <c r="G6" s="28"/>
      <c r="H6" s="28"/>
      <c r="I6" s="28"/>
      <c r="J6" s="28"/>
      <c r="K6" s="28"/>
      <c r="L6" s="28"/>
      <c r="M6" s="26">
        <v>233.94115379769312</v>
      </c>
      <c r="N6" s="26">
        <v>2</v>
      </c>
      <c r="O6" s="177"/>
      <c r="P6" s="180"/>
      <c r="Q6" s="174"/>
      <c r="R6" s="174"/>
      <c r="S6" s="55"/>
    </row>
    <row r="7" spans="1:19" s="1" customFormat="1">
      <c r="A7" s="184"/>
      <c r="B7" s="29"/>
      <c r="C7" s="29"/>
      <c r="D7" s="29"/>
      <c r="E7" s="29"/>
      <c r="F7" s="29"/>
      <c r="G7" s="29"/>
      <c r="H7" s="29"/>
      <c r="I7" s="29"/>
      <c r="J7" s="29"/>
      <c r="K7" s="29"/>
      <c r="L7" s="29"/>
      <c r="M7" s="26">
        <v>2.3797095425181012</v>
      </c>
      <c r="N7" s="26">
        <v>2.0344514027455116E-2</v>
      </c>
      <c r="O7" s="178"/>
      <c r="P7" s="181"/>
      <c r="Q7" s="175"/>
      <c r="R7" s="175"/>
      <c r="S7" s="55"/>
    </row>
    <row r="8" spans="1:19" s="19" customFormat="1">
      <c r="A8" s="182" t="s">
        <v>775</v>
      </c>
      <c r="B8" s="30">
        <v>0.2</v>
      </c>
      <c r="C8" s="30">
        <v>0.2</v>
      </c>
      <c r="D8" s="18">
        <v>0.04</v>
      </c>
      <c r="E8" s="31">
        <v>1</v>
      </c>
      <c r="F8" s="31">
        <v>0.67300000000000004</v>
      </c>
      <c r="G8" s="31">
        <v>1.7999999999999999E-2</v>
      </c>
      <c r="H8" s="32">
        <v>0.24</v>
      </c>
      <c r="I8" s="32">
        <f t="shared" ref="I8:J10" si="2">E8/(E8+G8)</f>
        <v>0.98231827111984282</v>
      </c>
      <c r="J8" s="31">
        <f t="shared" si="2"/>
        <v>0.73713033953997809</v>
      </c>
      <c r="K8" s="33">
        <f>-LN(I8)</f>
        <v>1.7839918128331005E-2</v>
      </c>
      <c r="L8" s="33">
        <f t="shared" ref="L8:L10" si="3">-LN(J8)</f>
        <v>0.30499055095024069</v>
      </c>
      <c r="M8" s="34" cm="1">
        <f t="array" ref="M8:N12">LINEST(L8:L10,K8:K10,FALSE,TRUE)</f>
        <v>13.183098319014551</v>
      </c>
      <c r="N8" s="34">
        <v>0</v>
      </c>
      <c r="O8" s="176">
        <f t="shared" ref="O8" si="4">TINV(0.32,N11)*M9</f>
        <v>1.5483456489940179</v>
      </c>
      <c r="P8" s="179">
        <f>O8*100/M8</f>
        <v>11.74492984521531</v>
      </c>
      <c r="Q8" s="173">
        <f>-1.99*273*LN(M8)/1000</f>
        <v>-1.4010583318747025</v>
      </c>
      <c r="R8" s="173">
        <f t="shared" ref="R8" si="5">ABS(1.99*273*O8/M8/1000)</f>
        <v>6.3806680370101218E-2</v>
      </c>
      <c r="S8" s="77"/>
    </row>
    <row r="9" spans="1:19" s="1" customFormat="1">
      <c r="A9" s="183" t="s">
        <v>829</v>
      </c>
      <c r="B9" s="22">
        <v>0.2</v>
      </c>
      <c r="C9" s="22">
        <v>0.2</v>
      </c>
      <c r="D9" s="15">
        <v>0.08</v>
      </c>
      <c r="E9" s="23">
        <v>1</v>
      </c>
      <c r="F9" s="23">
        <v>0.495</v>
      </c>
      <c r="G9" s="23">
        <v>3.9E-2</v>
      </c>
      <c r="H9" s="27">
        <v>0.42</v>
      </c>
      <c r="I9" s="24">
        <f t="shared" si="2"/>
        <v>0.9624639076034649</v>
      </c>
      <c r="J9" s="23">
        <f t="shared" si="2"/>
        <v>0.54098360655737698</v>
      </c>
      <c r="K9" s="25">
        <f>-LN(I9)</f>
        <v>3.825871211709031E-2</v>
      </c>
      <c r="L9" s="25">
        <f t="shared" si="3"/>
        <v>0.61436630270683112</v>
      </c>
      <c r="M9" s="26">
        <v>1.1805207838397958</v>
      </c>
      <c r="N9" s="26" t="e">
        <v>#N/A</v>
      </c>
      <c r="O9" s="177"/>
      <c r="P9" s="180"/>
      <c r="Q9" s="174"/>
      <c r="R9" s="174"/>
      <c r="S9" s="55"/>
    </row>
    <row r="10" spans="1:19" s="1" customFormat="1">
      <c r="A10" s="183" t="s">
        <v>830</v>
      </c>
      <c r="B10" s="22">
        <v>0.2</v>
      </c>
      <c r="C10" s="22">
        <v>0.2</v>
      </c>
      <c r="D10" s="22">
        <v>0.12</v>
      </c>
      <c r="E10" s="23">
        <v>1</v>
      </c>
      <c r="F10" s="23">
        <v>0.36799999999999999</v>
      </c>
      <c r="G10" s="23">
        <v>8.1000000000000003E-2</v>
      </c>
      <c r="H10" s="27">
        <v>0.59</v>
      </c>
      <c r="I10" s="24">
        <f t="shared" si="2"/>
        <v>0.92506938020351526</v>
      </c>
      <c r="J10" s="23">
        <f t="shared" si="2"/>
        <v>0.38413361169102295</v>
      </c>
      <c r="K10" s="25">
        <f>-LN(I10)</f>
        <v>7.7886538657071236E-2</v>
      </c>
      <c r="L10" s="25">
        <f t="shared" si="3"/>
        <v>0.95676483980192961</v>
      </c>
      <c r="M10" s="26">
        <v>0.9842154406391681</v>
      </c>
      <c r="N10" s="26">
        <v>0.10458311269517058</v>
      </c>
      <c r="O10" s="177"/>
      <c r="P10" s="180"/>
      <c r="Q10" s="174"/>
      <c r="R10" s="174"/>
      <c r="S10" s="55"/>
    </row>
    <row r="11" spans="1:19" s="1" customFormat="1">
      <c r="A11" s="183"/>
      <c r="B11" s="28"/>
      <c r="C11" s="28"/>
      <c r="D11" s="28"/>
      <c r="E11" s="28"/>
      <c r="F11" s="28"/>
      <c r="G11" s="28"/>
      <c r="H11" s="28"/>
      <c r="I11" s="28"/>
      <c r="J11" s="28"/>
      <c r="K11" s="28"/>
      <c r="L11" s="28"/>
      <c r="M11" s="26">
        <v>124.70610273498353</v>
      </c>
      <c r="N11" s="26">
        <v>2</v>
      </c>
      <c r="O11" s="177"/>
      <c r="P11" s="180"/>
      <c r="Q11" s="174"/>
      <c r="R11" s="174"/>
      <c r="S11" s="55"/>
    </row>
    <row r="12" spans="1:19" s="1" customFormat="1">
      <c r="A12" s="184"/>
      <c r="B12" s="29"/>
      <c r="C12" s="29"/>
      <c r="D12" s="29"/>
      <c r="E12" s="29"/>
      <c r="F12" s="29"/>
      <c r="G12" s="29"/>
      <c r="H12" s="29"/>
      <c r="I12" s="29"/>
      <c r="J12" s="29"/>
      <c r="K12" s="29"/>
      <c r="L12" s="29"/>
      <c r="M12" s="26">
        <v>1.3639888938297835</v>
      </c>
      <c r="N12" s="26">
        <v>2.1875254922021498E-2</v>
      </c>
      <c r="O12" s="178"/>
      <c r="P12" s="181"/>
      <c r="Q12" s="175"/>
      <c r="R12" s="175"/>
      <c r="S12" s="55"/>
    </row>
    <row r="13" spans="1:19" s="19" customFormat="1">
      <c r="A13" s="182" t="s">
        <v>831</v>
      </c>
      <c r="B13" s="30">
        <v>0.2</v>
      </c>
      <c r="C13" s="30">
        <v>0.2</v>
      </c>
      <c r="D13" s="18">
        <v>0.04</v>
      </c>
      <c r="E13" s="31">
        <v>1</v>
      </c>
      <c r="F13" s="31">
        <v>0.75</v>
      </c>
      <c r="G13" s="31">
        <v>0.14000000000000001</v>
      </c>
      <c r="H13" s="32">
        <v>0.05</v>
      </c>
      <c r="I13" s="32">
        <f t="shared" ref="I13:J15" si="6">E13/(E13+G13)</f>
        <v>0.8771929824561403</v>
      </c>
      <c r="J13" s="31">
        <f t="shared" si="6"/>
        <v>0.9375</v>
      </c>
      <c r="K13" s="33">
        <f>-LN(I13)</f>
        <v>0.13102826240640414</v>
      </c>
      <c r="L13" s="33">
        <f t="shared" ref="L13:L15" si="7">-LN(J13)</f>
        <v>6.4538521137571178E-2</v>
      </c>
      <c r="M13" s="34" cm="1">
        <f t="array" ref="M13:N17">LINEST(L13:L15,K13:K15,FALSE,TRUE)</f>
        <v>0.56762690406550809</v>
      </c>
      <c r="N13" s="34">
        <v>0</v>
      </c>
      <c r="O13" s="176">
        <f t="shared" ref="O13" si="8">TINV(0.32,N16)*M14</f>
        <v>4.3115904514244123E-2</v>
      </c>
      <c r="P13" s="179">
        <f>O13*100/M13</f>
        <v>7.5958176410306741</v>
      </c>
      <c r="Q13" s="173">
        <f>-1.99*273*LN(M13)/1000</f>
        <v>0.30764887632644522</v>
      </c>
      <c r="R13" s="173">
        <f t="shared" ref="R13" si="9">ABS(1.99*273*O13/M13/1000)</f>
        <v>4.1265798498427347E-2</v>
      </c>
      <c r="S13" s="77"/>
    </row>
    <row r="14" spans="1:19" s="1" customFormat="1">
      <c r="A14" s="183" t="s">
        <v>832</v>
      </c>
      <c r="B14" s="22">
        <v>0.2</v>
      </c>
      <c r="C14" s="22">
        <v>0.2</v>
      </c>
      <c r="D14" s="15">
        <v>0.08</v>
      </c>
      <c r="E14" s="23">
        <v>1</v>
      </c>
      <c r="F14" s="23">
        <v>0.79</v>
      </c>
      <c r="G14" s="23">
        <v>0.23</v>
      </c>
      <c r="H14" s="27">
        <v>0.09</v>
      </c>
      <c r="I14" s="24">
        <f t="shared" si="6"/>
        <v>0.81300813008130079</v>
      </c>
      <c r="J14" s="23">
        <f t="shared" si="6"/>
        <v>0.89772727272727282</v>
      </c>
      <c r="K14" s="25">
        <f>-LN(I14)</f>
        <v>0.20701416938432615</v>
      </c>
      <c r="L14" s="25">
        <f t="shared" si="7"/>
        <v>0.10788896201118488</v>
      </c>
      <c r="M14" s="26">
        <v>3.2873293780485771E-2</v>
      </c>
      <c r="N14" s="26" t="e">
        <v>#N/A</v>
      </c>
      <c r="O14" s="177"/>
      <c r="P14" s="180"/>
      <c r="Q14" s="174"/>
      <c r="R14" s="174"/>
      <c r="S14" s="55"/>
    </row>
    <row r="15" spans="1:19" s="1" customFormat="1">
      <c r="A15" s="183" t="s">
        <v>833</v>
      </c>
      <c r="B15" s="22">
        <v>0.2</v>
      </c>
      <c r="C15" s="22">
        <v>0.2</v>
      </c>
      <c r="D15" s="22">
        <v>0.12</v>
      </c>
      <c r="E15" s="23">
        <v>1</v>
      </c>
      <c r="F15" s="23">
        <v>0.67</v>
      </c>
      <c r="G15" s="23">
        <v>0.34</v>
      </c>
      <c r="H15" s="27">
        <v>0.13</v>
      </c>
      <c r="I15" s="24">
        <f t="shared" si="6"/>
        <v>0.74626865671641784</v>
      </c>
      <c r="J15" s="23">
        <f t="shared" si="6"/>
        <v>0.83750000000000002</v>
      </c>
      <c r="K15" s="25">
        <f>-LN(I15)</f>
        <v>0.2926696139628201</v>
      </c>
      <c r="L15" s="25">
        <f t="shared" si="7"/>
        <v>0.17733401528291554</v>
      </c>
      <c r="M15" s="26">
        <v>0.99333673644699549</v>
      </c>
      <c r="N15" s="26">
        <v>1.2547042269610531E-2</v>
      </c>
      <c r="O15" s="177"/>
      <c r="P15" s="180"/>
      <c r="Q15" s="174"/>
      <c r="R15" s="174"/>
      <c r="S15" s="55"/>
    </row>
    <row r="16" spans="1:19" s="1" customFormat="1">
      <c r="A16" s="183"/>
      <c r="B16" s="28"/>
      <c r="C16" s="28"/>
      <c r="D16" s="28"/>
      <c r="E16" s="28"/>
      <c r="F16" s="28"/>
      <c r="G16" s="28"/>
      <c r="H16" s="28"/>
      <c r="I16" s="28"/>
      <c r="J16" s="28"/>
      <c r="K16" s="28"/>
      <c r="L16" s="28"/>
      <c r="M16" s="26">
        <v>298.15321832770269</v>
      </c>
      <c r="N16" s="26">
        <v>2</v>
      </c>
      <c r="O16" s="177"/>
      <c r="P16" s="180"/>
      <c r="Q16" s="174"/>
      <c r="R16" s="174"/>
      <c r="S16" s="55"/>
    </row>
    <row r="17" spans="1:19" s="1" customFormat="1">
      <c r="A17" s="184"/>
      <c r="B17" s="29"/>
      <c r="C17" s="29"/>
      <c r="D17" s="29"/>
      <c r="E17" s="29"/>
      <c r="F17" s="29"/>
      <c r="G17" s="29"/>
      <c r="H17" s="29"/>
      <c r="I17" s="29"/>
      <c r="J17" s="29"/>
      <c r="K17" s="29"/>
      <c r="L17" s="29"/>
      <c r="M17" s="26">
        <v>4.693774527140615E-2</v>
      </c>
      <c r="N17" s="26">
        <v>3.1485653943078679E-4</v>
      </c>
      <c r="O17" s="178"/>
      <c r="P17" s="181"/>
      <c r="Q17" s="175"/>
      <c r="R17" s="175"/>
      <c r="S17" s="55"/>
    </row>
    <row r="18" spans="1:19" s="19" customFormat="1">
      <c r="A18" s="182" t="s">
        <v>834</v>
      </c>
      <c r="B18" s="30">
        <v>0.2</v>
      </c>
      <c r="C18" s="30">
        <v>0.2</v>
      </c>
      <c r="D18" s="18">
        <v>0.04</v>
      </c>
      <c r="E18" s="31">
        <v>1</v>
      </c>
      <c r="F18" s="31">
        <v>1.2290000000000001</v>
      </c>
      <c r="G18" s="31">
        <v>0.246</v>
      </c>
      <c r="H18" s="32">
        <v>3.3000000000000002E-2</v>
      </c>
      <c r="I18" s="32">
        <f t="shared" ref="I18:J20" si="10">E18/(E18+G18)</f>
        <v>0.8025682182985554</v>
      </c>
      <c r="J18" s="31">
        <f t="shared" si="10"/>
        <v>0.9738510301109351</v>
      </c>
      <c r="K18" s="33">
        <f t="shared" ref="K18:L20" si="11">-LN(I18)</f>
        <v>0.21993842036526137</v>
      </c>
      <c r="L18" s="33">
        <f t="shared" si="11"/>
        <v>2.6496933535123567E-2</v>
      </c>
      <c r="M18" s="34" cm="1">
        <f t="array" ref="M18:N22">LINEST(L18:L20,K18:K20,FALSE,TRUE)</f>
        <v>0.11891936450452981</v>
      </c>
      <c r="N18" s="34">
        <v>0</v>
      </c>
      <c r="O18" s="176">
        <f t="shared" ref="O18" si="12">TINV(0.32,N21)*M19</f>
        <v>1.9617210592686785E-3</v>
      </c>
      <c r="P18" s="179">
        <f>O18*100/M18</f>
        <v>1.6496228914795064</v>
      </c>
      <c r="Q18" s="173">
        <f>-1.99*273*LN(M18)/1000</f>
        <v>1.1567900398418001</v>
      </c>
      <c r="R18" s="173">
        <f t="shared" ref="R18" si="13">ABS(1.99*273*O18/M18/1000)</f>
        <v>8.9619062825407152E-3</v>
      </c>
      <c r="S18" s="77"/>
    </row>
    <row r="19" spans="1:19" s="1" customFormat="1">
      <c r="A19" s="183" t="s">
        <v>835</v>
      </c>
      <c r="B19" s="22">
        <v>0.2</v>
      </c>
      <c r="C19" s="22">
        <v>0.2</v>
      </c>
      <c r="D19" s="15">
        <v>0.08</v>
      </c>
      <c r="E19" s="23">
        <v>1</v>
      </c>
      <c r="F19" s="23">
        <v>1.512</v>
      </c>
      <c r="G19" s="23">
        <v>0.60299999999999998</v>
      </c>
      <c r="H19" s="27">
        <v>8.3000000000000004E-2</v>
      </c>
      <c r="I19" s="24">
        <f t="shared" si="10"/>
        <v>0.62383031815346224</v>
      </c>
      <c r="J19" s="23">
        <f t="shared" si="10"/>
        <v>0.94796238244514108</v>
      </c>
      <c r="K19" s="25">
        <f t="shared" si="11"/>
        <v>0.47187687362741593</v>
      </c>
      <c r="L19" s="25">
        <f t="shared" si="11"/>
        <v>5.3440458479466622E-2</v>
      </c>
      <c r="M19" s="26">
        <v>1.4956947656148592E-3</v>
      </c>
      <c r="N19" s="26" t="e">
        <v>#N/A</v>
      </c>
      <c r="O19" s="177"/>
      <c r="P19" s="180"/>
      <c r="Q19" s="174"/>
      <c r="R19" s="174"/>
      <c r="S19" s="55"/>
    </row>
    <row r="20" spans="1:19" s="1" customFormat="1">
      <c r="A20" s="183" t="s">
        <v>836</v>
      </c>
      <c r="B20" s="22">
        <v>0.2</v>
      </c>
      <c r="C20" s="22">
        <v>0.2</v>
      </c>
      <c r="D20" s="22">
        <v>0.12</v>
      </c>
      <c r="E20" s="23">
        <v>1</v>
      </c>
      <c r="F20" s="23">
        <v>2.9620000000000002</v>
      </c>
      <c r="G20" s="23">
        <v>2.4820000000000002</v>
      </c>
      <c r="H20" s="27">
        <v>0.47699999999999998</v>
      </c>
      <c r="I20" s="24">
        <f t="shared" si="10"/>
        <v>0.28719126938541067</v>
      </c>
      <c r="J20" s="23">
        <f t="shared" si="10"/>
        <v>0.86129688863041587</v>
      </c>
      <c r="K20" s="25">
        <f t="shared" si="11"/>
        <v>1.2476068413459973</v>
      </c>
      <c r="L20" s="25">
        <f t="shared" si="11"/>
        <v>0.14931601560452207</v>
      </c>
      <c r="M20" s="26">
        <v>0.99968371878177087</v>
      </c>
      <c r="N20" s="26">
        <v>2.0219909824685371E-3</v>
      </c>
      <c r="O20" s="177"/>
      <c r="P20" s="180"/>
      <c r="Q20" s="174"/>
      <c r="R20" s="174"/>
      <c r="S20" s="55"/>
    </row>
    <row r="21" spans="1:19" s="1" customFormat="1">
      <c r="A21" s="183"/>
      <c r="B21" s="28"/>
      <c r="C21" s="28"/>
      <c r="D21" s="28"/>
      <c r="E21" s="28"/>
      <c r="F21" s="28"/>
      <c r="G21" s="28"/>
      <c r="H21" s="28"/>
      <c r="I21" s="28"/>
      <c r="J21" s="28"/>
      <c r="K21" s="28"/>
      <c r="L21" s="28"/>
      <c r="M21" s="26">
        <v>6321.4864567616823</v>
      </c>
      <c r="N21" s="26">
        <v>2</v>
      </c>
      <c r="O21" s="177"/>
      <c r="P21" s="180"/>
      <c r="Q21" s="174"/>
      <c r="R21" s="174"/>
      <c r="S21" s="55"/>
    </row>
    <row r="22" spans="1:19" s="1" customFormat="1">
      <c r="A22" s="184"/>
      <c r="B22" s="29"/>
      <c r="C22" s="29"/>
      <c r="D22" s="29"/>
      <c r="E22" s="29"/>
      <c r="F22" s="29"/>
      <c r="G22" s="29"/>
      <c r="H22" s="29"/>
      <c r="I22" s="29"/>
      <c r="J22" s="29"/>
      <c r="K22" s="29"/>
      <c r="L22" s="29"/>
      <c r="M22" s="26">
        <v>2.5845065710203865E-2</v>
      </c>
      <c r="N22" s="26">
        <v>8.1768950663681579E-6</v>
      </c>
      <c r="O22" s="178"/>
      <c r="P22" s="181"/>
      <c r="Q22" s="175"/>
      <c r="R22" s="175"/>
      <c r="S22" s="55"/>
    </row>
    <row r="23" spans="1:19" s="19" customFormat="1">
      <c r="A23" s="182" t="s">
        <v>837</v>
      </c>
      <c r="B23" s="30">
        <v>0.2</v>
      </c>
      <c r="C23" s="30">
        <v>0.2</v>
      </c>
      <c r="D23" s="18">
        <v>0.08</v>
      </c>
      <c r="E23" s="31">
        <v>1</v>
      </c>
      <c r="F23" s="31">
        <v>2.1800000000000002</v>
      </c>
      <c r="G23" s="31">
        <v>1.54</v>
      </c>
      <c r="H23" s="32">
        <v>0.14399999999999999</v>
      </c>
      <c r="I23" s="32">
        <f t="shared" ref="I23:J25" si="14">E23/(E23+G23)</f>
        <v>0.39370078740157477</v>
      </c>
      <c r="J23" s="31">
        <f t="shared" si="14"/>
        <v>0.93803786574870907</v>
      </c>
      <c r="K23" s="33">
        <f t="shared" ref="K23:L25" si="15">-LN(I23)</f>
        <v>0.93216408103044535</v>
      </c>
      <c r="L23" s="33">
        <f t="shared" si="15"/>
        <v>6.3964962188667221E-2</v>
      </c>
      <c r="M23" s="34" cm="1">
        <f t="array" ref="M23:N27">LINEST(L23:L25,K23:K25,FALSE,TRUE)</f>
        <v>7.0570075778512639E-2</v>
      </c>
      <c r="N23" s="34">
        <v>0</v>
      </c>
      <c r="O23" s="176">
        <f t="shared" ref="O23" si="16">TINV(0.32,N26)*M24</f>
        <v>1.5299737241033719E-3</v>
      </c>
      <c r="P23" s="179">
        <f>O23*100/M23</f>
        <v>2.1680205203481195</v>
      </c>
      <c r="Q23" s="173">
        <f>-1.99*273*LN(M23)/1000</f>
        <v>1.4402897607805036</v>
      </c>
      <c r="R23" s="173">
        <f t="shared" ref="R23" si="17">ABS(1.99*273*O23/M23/1000)</f>
        <v>1.1778205080895228E-2</v>
      </c>
      <c r="S23" s="77"/>
    </row>
    <row r="24" spans="1:19" s="1" customFormat="1">
      <c r="A24" s="183" t="s">
        <v>838</v>
      </c>
      <c r="B24" s="22">
        <v>0.2</v>
      </c>
      <c r="C24" s="22">
        <v>0.2</v>
      </c>
      <c r="D24" s="15">
        <v>0.12</v>
      </c>
      <c r="E24" s="23">
        <v>1</v>
      </c>
      <c r="F24" s="23">
        <v>2.81</v>
      </c>
      <c r="G24" s="23">
        <v>2.5</v>
      </c>
      <c r="H24" s="27">
        <v>0.26800000000000002</v>
      </c>
      <c r="I24" s="24">
        <f t="shared" si="14"/>
        <v>0.2857142857142857</v>
      </c>
      <c r="J24" s="23">
        <f t="shared" si="14"/>
        <v>0.912930474333983</v>
      </c>
      <c r="K24" s="25">
        <f t="shared" si="15"/>
        <v>1.2527629684953681</v>
      </c>
      <c r="L24" s="25">
        <f t="shared" si="15"/>
        <v>9.1095552071033203E-2</v>
      </c>
      <c r="M24" s="26">
        <v>1.1665132919166307E-3</v>
      </c>
      <c r="N24" s="26" t="e">
        <v>#N/A</v>
      </c>
      <c r="O24" s="177"/>
      <c r="P24" s="180"/>
      <c r="Q24" s="174"/>
      <c r="R24" s="174"/>
      <c r="S24" s="55"/>
    </row>
    <row r="25" spans="1:19" s="1" customFormat="1">
      <c r="A25" s="183" t="s">
        <v>839</v>
      </c>
      <c r="B25" s="22">
        <v>0.2</v>
      </c>
      <c r="C25" s="22">
        <v>0.2</v>
      </c>
      <c r="D25" s="22">
        <v>0.16</v>
      </c>
      <c r="E25" s="23">
        <v>1</v>
      </c>
      <c r="F25" s="23">
        <v>3.3</v>
      </c>
      <c r="G25" s="23">
        <v>3.05</v>
      </c>
      <c r="H25" s="27">
        <v>0.33799999999999997</v>
      </c>
      <c r="I25" s="24">
        <f t="shared" si="14"/>
        <v>0.24691358024691359</v>
      </c>
      <c r="J25" s="23">
        <f t="shared" si="14"/>
        <v>0.90709180868609118</v>
      </c>
      <c r="K25" s="25">
        <f t="shared" si="15"/>
        <v>1.3987168811184476</v>
      </c>
      <c r="L25" s="25">
        <f t="shared" si="15"/>
        <v>9.7511611623496044E-2</v>
      </c>
      <c r="M25" s="26">
        <v>0.99945382609519429</v>
      </c>
      <c r="N25" s="26">
        <v>2.4454397599083942E-3</v>
      </c>
      <c r="O25" s="177"/>
      <c r="P25" s="180"/>
      <c r="Q25" s="174"/>
      <c r="R25" s="174"/>
      <c r="S25" s="55"/>
    </row>
    <row r="26" spans="1:19" s="1" customFormat="1">
      <c r="A26" s="183"/>
      <c r="B26" s="45"/>
      <c r="C26" s="45"/>
      <c r="D26" s="45"/>
      <c r="E26" s="46"/>
      <c r="F26" s="46"/>
      <c r="G26" s="46"/>
      <c r="H26" s="46"/>
      <c r="I26" s="46"/>
      <c r="J26" s="46"/>
      <c r="K26" s="47"/>
      <c r="L26" s="47"/>
      <c r="M26" s="26">
        <v>3659.8373422868249</v>
      </c>
      <c r="N26" s="26">
        <v>2</v>
      </c>
      <c r="O26" s="177"/>
      <c r="P26" s="180"/>
      <c r="Q26" s="174"/>
      <c r="R26" s="174"/>
      <c r="S26" s="55"/>
    </row>
    <row r="27" spans="1:19" s="1" customFormat="1">
      <c r="A27" s="183"/>
      <c r="B27" s="45"/>
      <c r="C27" s="45"/>
      <c r="D27" s="45"/>
      <c r="E27" s="46"/>
      <c r="F27" s="46"/>
      <c r="G27" s="46"/>
      <c r="H27" s="46"/>
      <c r="I27" s="46"/>
      <c r="J27" s="46"/>
      <c r="K27" s="47"/>
      <c r="L27" s="47"/>
      <c r="M27" s="26">
        <v>2.1886470045096793E-2</v>
      </c>
      <c r="N27" s="26">
        <v>1.1960351238681651E-5</v>
      </c>
      <c r="O27" s="192"/>
      <c r="P27" s="180"/>
      <c r="Q27" s="174"/>
      <c r="R27" s="174"/>
      <c r="S27" s="55"/>
    </row>
    <row r="28" spans="1:19" s="38" customFormat="1">
      <c r="A28" s="92" t="s">
        <v>840</v>
      </c>
      <c r="B28" s="35"/>
      <c r="C28" s="35"/>
      <c r="D28" s="35"/>
      <c r="E28" s="36"/>
      <c r="F28" s="36"/>
      <c r="G28" s="36"/>
      <c r="H28" s="36"/>
      <c r="I28" s="36"/>
      <c r="J28" s="36"/>
      <c r="K28" s="37"/>
      <c r="L28" s="37"/>
      <c r="M28" s="52">
        <f>M23*2*0.29/(0.048+0.29)</f>
        <v>0.12109657973827614</v>
      </c>
      <c r="N28" s="54"/>
      <c r="O28" s="13">
        <f>O23*2*0.29/(0.048+0.29)</f>
        <v>2.6253986981655494E-3</v>
      </c>
      <c r="P28" s="40">
        <f>O23*100/M23</f>
        <v>2.1680205203481195</v>
      </c>
      <c r="Q28" s="41">
        <f>-1.99*273*LN(M28)/1000</f>
        <v>1.1469336266091348</v>
      </c>
      <c r="R28" s="41">
        <f>ABS(1.99*273*O28/M28/1000)</f>
        <v>1.1778205080895226E-2</v>
      </c>
      <c r="S28" s="75"/>
    </row>
    <row r="29" spans="1:19" s="1" customFormat="1">
      <c r="A29" s="86" t="s">
        <v>841</v>
      </c>
      <c r="B29" s="42"/>
      <c r="C29" s="42"/>
      <c r="D29" s="42"/>
      <c r="E29" s="43"/>
      <c r="F29" s="43"/>
      <c r="G29" s="43"/>
      <c r="H29" s="43"/>
      <c r="I29" s="43"/>
      <c r="J29" s="43"/>
      <c r="K29" s="44"/>
      <c r="L29" s="44"/>
      <c r="M29" s="26">
        <f>M23*2*0.048/(0.048+0.29)</f>
        <v>2.0043571818749155E-2</v>
      </c>
      <c r="N29" s="53"/>
      <c r="O29" s="13">
        <f>O23*2*0.048/(0.048+0.29)</f>
        <v>4.3454875004119445E-4</v>
      </c>
      <c r="P29" s="14">
        <f>O23*100/M23</f>
        <v>2.1680205203481195</v>
      </c>
      <c r="Q29" s="15">
        <f>-1.99*273*LN(M29)/1000</f>
        <v>2.124102462440832</v>
      </c>
      <c r="R29" s="15">
        <f>ABS(1.99*273*O29/M29/1000)</f>
        <v>1.1778205080895228E-2</v>
      </c>
      <c r="S29" s="55"/>
    </row>
    <row r="30" spans="1:19" s="19" customFormat="1">
      <c r="A30" s="182" t="s">
        <v>842</v>
      </c>
      <c r="B30" s="30">
        <v>0.2</v>
      </c>
      <c r="C30" s="30">
        <v>0.2</v>
      </c>
      <c r="D30" s="18">
        <v>0.08</v>
      </c>
      <c r="E30" s="31">
        <v>1</v>
      </c>
      <c r="F30" s="31">
        <v>1.59</v>
      </c>
      <c r="G30" s="31">
        <v>0.87</v>
      </c>
      <c r="H30" s="32">
        <v>4.8000000000000001E-2</v>
      </c>
      <c r="I30" s="32">
        <f t="shared" ref="I30:J32" si="18">E30/(E30+G30)</f>
        <v>0.53475935828876997</v>
      </c>
      <c r="J30" s="31">
        <f t="shared" si="18"/>
        <v>0.97069597069597069</v>
      </c>
      <c r="K30" s="33">
        <f t="shared" ref="K30:L32" si="19">-LN(I30)</f>
        <v>0.62593843086649537</v>
      </c>
      <c r="L30" s="33">
        <f t="shared" si="19"/>
        <v>2.974196919873753E-2</v>
      </c>
      <c r="M30" s="34" cm="1">
        <f t="array" ref="M30:N34">LINEST(L30:L32,K30:K32,FALSE,TRUE)</f>
        <v>6.7070358839991531E-2</v>
      </c>
      <c r="N30" s="34">
        <v>0</v>
      </c>
      <c r="O30" s="176">
        <f>TINV(0.32,N33)*M31</f>
        <v>7.7694969695633132E-3</v>
      </c>
      <c r="P30" s="179">
        <f>O30*100/M30</f>
        <v>11.584099301002478</v>
      </c>
      <c r="Q30" s="173">
        <f>-1.99*273*LN(M30)/1000</f>
        <v>1.4679226452402649</v>
      </c>
      <c r="R30" s="173">
        <f>ABS(1.99*273*O30/M30/1000)</f>
        <v>6.2932936272556153E-2</v>
      </c>
      <c r="S30" s="77"/>
    </row>
    <row r="31" spans="1:19" s="1" customFormat="1">
      <c r="A31" s="183" t="s">
        <v>843</v>
      </c>
      <c r="B31" s="22">
        <v>0.2</v>
      </c>
      <c r="C31" s="22">
        <v>0.2</v>
      </c>
      <c r="D31" s="15">
        <v>0.12</v>
      </c>
      <c r="E31" s="23">
        <v>1</v>
      </c>
      <c r="F31" s="23">
        <v>1.59</v>
      </c>
      <c r="G31" s="23">
        <v>1.04</v>
      </c>
      <c r="H31" s="27">
        <v>8.1000000000000003E-2</v>
      </c>
      <c r="I31" s="24">
        <f t="shared" si="18"/>
        <v>0.49019607843137253</v>
      </c>
      <c r="J31" s="23">
        <f t="shared" si="18"/>
        <v>0.95152603231597843</v>
      </c>
      <c r="K31" s="25">
        <f t="shared" si="19"/>
        <v>0.71294980785612505</v>
      </c>
      <c r="L31" s="25">
        <f t="shared" si="19"/>
        <v>4.9688233381116532E-2</v>
      </c>
      <c r="M31" s="26">
        <v>5.9237759078594708E-3</v>
      </c>
      <c r="N31" s="26" t="e">
        <v>#N/A</v>
      </c>
      <c r="O31" s="177"/>
      <c r="P31" s="180"/>
      <c r="Q31" s="174"/>
      <c r="R31" s="174"/>
      <c r="S31" s="55"/>
    </row>
    <row r="32" spans="1:19" s="1" customFormat="1">
      <c r="A32" s="183" t="s">
        <v>844</v>
      </c>
      <c r="B32" s="22">
        <v>0.2</v>
      </c>
      <c r="C32" s="22">
        <v>0.2</v>
      </c>
      <c r="D32" s="22">
        <v>0.16</v>
      </c>
      <c r="E32" s="23">
        <v>1</v>
      </c>
      <c r="F32" s="23">
        <v>2.95</v>
      </c>
      <c r="G32" s="23">
        <v>2.59</v>
      </c>
      <c r="H32" s="27">
        <v>0.28000000000000003</v>
      </c>
      <c r="I32" s="24">
        <f t="shared" si="18"/>
        <v>0.2785515320334262</v>
      </c>
      <c r="J32" s="23">
        <f t="shared" si="18"/>
        <v>0.9133126934984519</v>
      </c>
      <c r="K32" s="25">
        <f t="shared" si="19"/>
        <v>1.2781522025001875</v>
      </c>
      <c r="L32" s="25">
        <f t="shared" si="19"/>
        <v>9.0676966882836843E-2</v>
      </c>
      <c r="M32" s="26">
        <v>0.9846381807705844</v>
      </c>
      <c r="N32" s="26">
        <v>9.4293588666508957E-3</v>
      </c>
      <c r="O32" s="177"/>
      <c r="P32" s="180"/>
      <c r="Q32" s="174"/>
      <c r="R32" s="174"/>
      <c r="S32" s="55"/>
    </row>
    <row r="33" spans="1:19" s="1" customFormat="1">
      <c r="A33" s="183"/>
      <c r="B33" s="45"/>
      <c r="C33" s="45"/>
      <c r="D33" s="45"/>
      <c r="E33" s="46"/>
      <c r="F33" s="46"/>
      <c r="G33" s="46"/>
      <c r="H33" s="46"/>
      <c r="I33" s="46"/>
      <c r="J33" s="46"/>
      <c r="K33" s="47"/>
      <c r="L33" s="47"/>
      <c r="M33" s="26">
        <v>128.19291336082779</v>
      </c>
      <c r="N33" s="26">
        <v>2</v>
      </c>
      <c r="O33" s="177"/>
      <c r="P33" s="180"/>
      <c r="Q33" s="174"/>
      <c r="R33" s="174"/>
      <c r="S33" s="55"/>
    </row>
    <row r="34" spans="1:19" s="1" customFormat="1">
      <c r="A34" s="183"/>
      <c r="B34" s="45"/>
      <c r="C34" s="45"/>
      <c r="D34" s="45"/>
      <c r="E34" s="46"/>
      <c r="F34" s="46"/>
      <c r="G34" s="46"/>
      <c r="H34" s="46"/>
      <c r="I34" s="46"/>
      <c r="J34" s="46"/>
      <c r="K34" s="47"/>
      <c r="L34" s="47"/>
      <c r="M34" s="26">
        <v>1.139799197415387E-2</v>
      </c>
      <c r="N34" s="26">
        <v>1.778256172721757E-4</v>
      </c>
      <c r="O34" s="177"/>
      <c r="P34" s="180"/>
      <c r="Q34" s="174"/>
      <c r="R34" s="174"/>
      <c r="S34" s="80"/>
    </row>
    <row r="35" spans="1:19" s="38" customFormat="1">
      <c r="A35" s="92" t="s">
        <v>845</v>
      </c>
      <c r="B35" s="35"/>
      <c r="C35" s="35"/>
      <c r="D35" s="35"/>
      <c r="E35" s="36"/>
      <c r="F35" s="36"/>
      <c r="G35" s="36"/>
      <c r="H35" s="36"/>
      <c r="I35" s="36"/>
      <c r="J35" s="36"/>
      <c r="K35" s="37"/>
      <c r="L35" s="37"/>
      <c r="M35" s="52">
        <f>M30*2*0.93/(0.93+0.053)</f>
        <v>0.12690830869011621</v>
      </c>
      <c r="N35" s="54"/>
      <c r="O35" s="39">
        <f>O30*2*0.93/(0.93+0.053)</f>
        <v>1.4701184499885821E-2</v>
      </c>
      <c r="P35" s="40">
        <f>O30*100/M30</f>
        <v>11.584099301002478</v>
      </c>
      <c r="Q35" s="41">
        <f>-1.99*273*LN(M35)/1000</f>
        <v>1.1214670630435704</v>
      </c>
      <c r="R35" s="41">
        <f>ABS(1.99*273*O35/M35/1000)</f>
        <v>6.2932936272556167E-2</v>
      </c>
      <c r="S35" s="68" t="s">
        <v>846</v>
      </c>
    </row>
    <row r="36" spans="1:19" s="1" customFormat="1">
      <c r="A36" s="86" t="s">
        <v>847</v>
      </c>
      <c r="B36" s="42"/>
      <c r="C36" s="42"/>
      <c r="D36" s="42"/>
      <c r="E36" s="43"/>
      <c r="F36" s="43"/>
      <c r="G36" s="43"/>
      <c r="H36" s="43"/>
      <c r="I36" s="43"/>
      <c r="J36" s="43"/>
      <c r="K36" s="44"/>
      <c r="L36" s="44"/>
      <c r="M36" s="26">
        <f>M30*2*0.053/(0.93+0.053)</f>
        <v>7.232408989866837E-3</v>
      </c>
      <c r="N36" s="53"/>
      <c r="O36" s="13">
        <f>O30*2*0.053/(0.93+0.053)</f>
        <v>8.3780943924080477E-4</v>
      </c>
      <c r="P36" s="14">
        <f>O30*100/M30</f>
        <v>11.584099301002478</v>
      </c>
      <c r="Q36" s="15">
        <f>-1.99*273*LN(M36)/1000</f>
        <v>2.6778773052843539</v>
      </c>
      <c r="R36" s="15">
        <f>ABS(1.99*273*O36/M36/1000)</f>
        <v>6.2932936272556167E-2</v>
      </c>
      <c r="S36" s="68" t="s">
        <v>846</v>
      </c>
    </row>
    <row r="37" spans="1:19" s="8" customFormat="1">
      <c r="A37" s="103"/>
      <c r="B37" s="7"/>
      <c r="C37" s="7"/>
      <c r="D37" s="7"/>
      <c r="E37" s="10"/>
      <c r="F37" s="10"/>
      <c r="G37" s="10"/>
      <c r="H37" s="10"/>
      <c r="I37" s="10"/>
      <c r="J37" s="10"/>
      <c r="K37" s="11"/>
      <c r="L37" s="11"/>
    </row>
  </sheetData>
  <mergeCells count="37">
    <mergeCell ref="A30:A34"/>
    <mergeCell ref="O30:O34"/>
    <mergeCell ref="P30:P34"/>
    <mergeCell ref="Q30:Q34"/>
    <mergeCell ref="R30:R34"/>
    <mergeCell ref="A3:A7"/>
    <mergeCell ref="A8:A12"/>
    <mergeCell ref="A13:A17"/>
    <mergeCell ref="A18:A22"/>
    <mergeCell ref="A23:A27"/>
    <mergeCell ref="B1:D1"/>
    <mergeCell ref="E1:H1"/>
    <mergeCell ref="I1:J1"/>
    <mergeCell ref="K1:L1"/>
    <mergeCell ref="O1:P1"/>
    <mergeCell ref="Q1:R1"/>
    <mergeCell ref="R3:R7"/>
    <mergeCell ref="O8:O12"/>
    <mergeCell ref="P8:P12"/>
    <mergeCell ref="Q8:Q12"/>
    <mergeCell ref="R8:R12"/>
    <mergeCell ref="O23:O27"/>
    <mergeCell ref="P23:P27"/>
    <mergeCell ref="Q23:Q27"/>
    <mergeCell ref="R23:R27"/>
    <mergeCell ref="M2:N2"/>
    <mergeCell ref="O13:O17"/>
    <mergeCell ref="P13:P17"/>
    <mergeCell ref="Q13:Q17"/>
    <mergeCell ref="R13:R17"/>
    <mergeCell ref="O18:O22"/>
    <mergeCell ref="P18:P22"/>
    <mergeCell ref="Q18:Q22"/>
    <mergeCell ref="R18:R22"/>
    <mergeCell ref="O3:O7"/>
    <mergeCell ref="P3:P7"/>
    <mergeCell ref="Q3:Q7"/>
  </mergeCells>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3D812-886D-426F-BCE0-4CFCCA105436}">
  <dimension ref="A1:S28"/>
  <sheetViews>
    <sheetView zoomScale="105" zoomScaleNormal="52" workbookViewId="0">
      <pane xSplit="1" ySplit="2" topLeftCell="B12" activePane="bottomRight" state="frozen"/>
      <selection pane="topRight" activeCell="B1" sqref="B1"/>
      <selection pane="bottomLeft" activeCell="A3" sqref="A3"/>
      <selection pane="bottomRight" activeCell="C3" sqref="C3"/>
    </sheetView>
  </sheetViews>
  <sheetFormatPr baseColWidth="10" defaultColWidth="9" defaultRowHeight="13"/>
  <cols>
    <col min="1" max="1" width="33.1640625" style="86" bestFit="1" customWidth="1"/>
    <col min="2" max="2" width="9.5" style="15" bestFit="1" customWidth="1"/>
    <col min="3" max="3" width="10.6640625" style="15" customWidth="1"/>
    <col min="4" max="4" width="9.1640625" style="15" bestFit="1" customWidth="1"/>
    <col min="5" max="5" width="9.5" style="27" bestFit="1" customWidth="1"/>
    <col min="6" max="6" width="10.1640625" style="27" customWidth="1"/>
    <col min="7" max="7" width="9.1640625" style="27" bestFit="1" customWidth="1"/>
    <col min="8" max="8" width="8.6640625" style="27" bestFit="1" customWidth="1"/>
    <col min="9" max="10" width="9.6640625" style="27" bestFit="1" customWidth="1"/>
    <col min="11" max="12" width="13.6640625" style="51" bestFit="1" customWidth="1"/>
    <col min="13" max="13" width="9.1640625" style="1" customWidth="1"/>
    <col min="14" max="14" width="8.5" style="1" customWidth="1"/>
    <col min="15" max="15" width="11.1640625" style="13" bestFit="1" customWidth="1"/>
    <col min="16" max="16" width="9.33203125" style="14" bestFit="1" customWidth="1"/>
    <col min="17" max="17" width="9.33203125" style="15" bestFit="1" customWidth="1"/>
    <col min="18" max="18" width="9.1640625" style="1" bestFit="1" customWidth="1"/>
    <col min="19" max="16384" width="9" style="1"/>
  </cols>
  <sheetData>
    <row r="1" spans="1:19" s="86" customFormat="1" ht="15">
      <c r="B1" s="159" t="s">
        <v>848</v>
      </c>
      <c r="C1" s="159"/>
      <c r="D1" s="159"/>
      <c r="E1" s="160" t="s">
        <v>704</v>
      </c>
      <c r="F1" s="160"/>
      <c r="G1" s="160"/>
      <c r="H1" s="160"/>
      <c r="I1" s="186"/>
      <c r="J1" s="186"/>
      <c r="K1" s="187"/>
      <c r="L1" s="187"/>
      <c r="O1" s="159" t="s">
        <v>705</v>
      </c>
      <c r="P1" s="159"/>
      <c r="Q1" s="159" t="s">
        <v>706</v>
      </c>
      <c r="R1" s="159"/>
      <c r="S1" s="86" t="s">
        <v>721</v>
      </c>
    </row>
    <row r="2" spans="1:19" s="101" customFormat="1" ht="15">
      <c r="A2" s="90"/>
      <c r="B2" s="95" t="s">
        <v>708</v>
      </c>
      <c r="C2" s="95" t="s">
        <v>707</v>
      </c>
      <c r="D2" s="95" t="s">
        <v>709</v>
      </c>
      <c r="E2" s="96" t="s">
        <v>708</v>
      </c>
      <c r="F2" s="96" t="s">
        <v>707</v>
      </c>
      <c r="G2" s="96" t="s">
        <v>710</v>
      </c>
      <c r="H2" s="96" t="s">
        <v>711</v>
      </c>
      <c r="I2" s="96" t="s">
        <v>712</v>
      </c>
      <c r="J2" s="96" t="s">
        <v>713</v>
      </c>
      <c r="K2" s="97" t="s">
        <v>714</v>
      </c>
      <c r="L2" s="97" t="s">
        <v>715</v>
      </c>
      <c r="M2" s="191" t="s">
        <v>716</v>
      </c>
      <c r="N2" s="191"/>
      <c r="O2" s="98" t="s">
        <v>717</v>
      </c>
      <c r="P2" s="99" t="s">
        <v>718</v>
      </c>
      <c r="Q2" s="100" t="s">
        <v>719</v>
      </c>
      <c r="R2" s="100" t="s">
        <v>720</v>
      </c>
    </row>
    <row r="3" spans="1:19">
      <c r="A3" s="197" t="s">
        <v>849</v>
      </c>
      <c r="B3" s="22">
        <v>0.2</v>
      </c>
      <c r="C3" s="22">
        <v>0.2</v>
      </c>
      <c r="D3" s="15">
        <v>0.02</v>
      </c>
      <c r="E3" s="23">
        <v>1.92</v>
      </c>
      <c r="F3" s="23">
        <v>1</v>
      </c>
      <c r="G3" s="23">
        <v>0.11</v>
      </c>
      <c r="H3" s="27">
        <v>0.98</v>
      </c>
      <c r="I3" s="24">
        <f>E3/(E3+G3)</f>
        <v>0.94581280788177347</v>
      </c>
      <c r="J3" s="23">
        <f>F3/(F3+H3)</f>
        <v>0.50505050505050508</v>
      </c>
      <c r="K3" s="25">
        <f>-LN(I3)</f>
        <v>5.5710607014005716E-2</v>
      </c>
      <c r="L3" s="25">
        <f>-LN(J3)</f>
        <v>0.68309684470644383</v>
      </c>
      <c r="M3" s="26" cm="1">
        <f t="array" ref="M3:N7">LINEST(L3:L5,K3:K5,FALSE,TRUE)</f>
        <v>13.05527623901855</v>
      </c>
      <c r="N3" s="26">
        <v>0</v>
      </c>
      <c r="O3" s="188">
        <f>_xlfn.T.INV.2T(0.32,N6)*M4</f>
        <v>0.20349358287724359</v>
      </c>
      <c r="P3" s="189">
        <f>O3*100/M3</f>
        <v>1.5587075995302075</v>
      </c>
      <c r="Q3" s="190">
        <f>-1.99*273*LN(M3)/1000</f>
        <v>-1.3957651342652313</v>
      </c>
      <c r="R3" s="190">
        <f>ABS(1.99*273*O3/M3/1000)</f>
        <v>8.4679907759677587E-3</v>
      </c>
      <c r="S3" s="79"/>
    </row>
    <row r="4" spans="1:19">
      <c r="A4" s="183"/>
      <c r="B4" s="22">
        <v>0.2</v>
      </c>
      <c r="C4" s="22">
        <v>0.2</v>
      </c>
      <c r="D4" s="22">
        <v>0.04</v>
      </c>
      <c r="E4" s="23">
        <v>2.92</v>
      </c>
      <c r="F4" s="23">
        <v>1</v>
      </c>
      <c r="G4" s="23">
        <v>0.26</v>
      </c>
      <c r="H4" s="27">
        <v>2.08</v>
      </c>
      <c r="I4" s="24">
        <f t="shared" ref="I4:J4" si="0">E4/(E4+G4)</f>
        <v>0.91823899371069184</v>
      </c>
      <c r="J4" s="23">
        <f t="shared" si="0"/>
        <v>0.32467532467532467</v>
      </c>
      <c r="K4" s="25">
        <f>-LN(I4)</f>
        <v>8.5297580511895066E-2</v>
      </c>
      <c r="L4" s="25">
        <f>-LN(J4)</f>
        <v>1.1249295969854831</v>
      </c>
      <c r="M4" s="26">
        <v>0.15515166404910416</v>
      </c>
      <c r="N4" s="26" t="e">
        <v>#N/A</v>
      </c>
      <c r="O4" s="177"/>
      <c r="P4" s="180"/>
      <c r="Q4" s="174"/>
      <c r="R4" s="174"/>
      <c r="S4" s="55"/>
    </row>
    <row r="5" spans="1:19">
      <c r="A5" s="183"/>
      <c r="B5" s="22">
        <v>0.2</v>
      </c>
      <c r="C5" s="22">
        <v>0.2</v>
      </c>
      <c r="D5" s="22">
        <v>0.06</v>
      </c>
      <c r="E5" s="23">
        <v>10.130000000000001</v>
      </c>
      <c r="F5" s="23">
        <v>1</v>
      </c>
      <c r="G5" s="23">
        <v>2.06</v>
      </c>
      <c r="H5" s="27">
        <v>10.3</v>
      </c>
      <c r="I5" s="24">
        <f t="shared" ref="I5" si="1">E5/(E5+G5)</f>
        <v>0.83100902378999175</v>
      </c>
      <c r="J5" s="23">
        <f t="shared" ref="J5" si="2">F5/(F5+H5)</f>
        <v>8.8495575221238937E-2</v>
      </c>
      <c r="K5" s="25">
        <f t="shared" ref="K5" si="3">-LN(I5)</f>
        <v>0.1851146252325882</v>
      </c>
      <c r="L5" s="25">
        <f t="shared" ref="L5" si="4">-LN(J5)</f>
        <v>2.4248027257182949</v>
      </c>
      <c r="M5" s="26">
        <v>0.99971761080010912</v>
      </c>
      <c r="N5" s="26">
        <v>3.2783210113388396E-2</v>
      </c>
      <c r="O5" s="177"/>
      <c r="P5" s="180"/>
      <c r="Q5" s="174"/>
      <c r="R5" s="174"/>
      <c r="S5" s="55"/>
    </row>
    <row r="6" spans="1:19">
      <c r="A6" s="183"/>
      <c r="B6" s="45"/>
      <c r="C6" s="45"/>
      <c r="D6" s="45"/>
      <c r="E6" s="45"/>
      <c r="F6" s="45"/>
      <c r="G6" s="45"/>
      <c r="H6" s="45"/>
      <c r="I6" s="45"/>
      <c r="J6" s="45"/>
      <c r="K6" s="45"/>
      <c r="L6" s="45"/>
      <c r="M6" s="26">
        <v>7080.4238348119916</v>
      </c>
      <c r="N6" s="26">
        <v>2</v>
      </c>
      <c r="O6" s="177"/>
      <c r="P6" s="180"/>
      <c r="Q6" s="174"/>
      <c r="R6" s="174"/>
      <c r="S6" s="55"/>
    </row>
    <row r="7" spans="1:19">
      <c r="A7" s="183"/>
      <c r="B7" s="28"/>
      <c r="C7" s="28"/>
      <c r="D7" s="28"/>
      <c r="E7" s="28"/>
      <c r="F7" s="28"/>
      <c r="G7" s="28"/>
      <c r="H7" s="28"/>
      <c r="I7" s="28"/>
      <c r="J7" s="28"/>
      <c r="K7" s="28"/>
      <c r="L7" s="28"/>
      <c r="M7" s="26">
        <v>7.6096066783420167</v>
      </c>
      <c r="N7" s="26">
        <v>2.1494777306771428E-3</v>
      </c>
      <c r="O7" s="177"/>
      <c r="P7" s="181"/>
      <c r="Q7" s="175"/>
      <c r="R7" s="175"/>
      <c r="S7" s="55"/>
    </row>
    <row r="8" spans="1:19" s="19" customFormat="1">
      <c r="A8" s="198" t="s">
        <v>850</v>
      </c>
      <c r="B8" s="30">
        <v>0.2</v>
      </c>
      <c r="C8" s="30">
        <v>0.2</v>
      </c>
      <c r="D8" s="18">
        <v>0.02</v>
      </c>
      <c r="E8" s="31">
        <v>1</v>
      </c>
      <c r="F8" s="31">
        <v>1.292</v>
      </c>
      <c r="G8" s="31">
        <v>0.63800000000000001</v>
      </c>
      <c r="H8" s="49">
        <v>0.14799999999999999</v>
      </c>
      <c r="I8" s="32">
        <f>E8/(E8+G8)</f>
        <v>0.61050061050061055</v>
      </c>
      <c r="J8" s="31">
        <f>F8/(F8+H8)</f>
        <v>0.89722222222222225</v>
      </c>
      <c r="K8" s="33">
        <f>-LN(I8)</f>
        <v>0.49347598543087762</v>
      </c>
      <c r="L8" s="33">
        <f>-LN(J8)</f>
        <v>0.10845170822749911</v>
      </c>
      <c r="M8" s="34" cm="1">
        <f t="array" ref="M8:N12">LINEST(L8:L10,K8:K10,FALSE,TRUE)</f>
        <v>0.22594973087404099</v>
      </c>
      <c r="N8" s="34">
        <v>0</v>
      </c>
      <c r="O8" s="176">
        <f t="shared" ref="O8" si="5">_xlfn.T.INV.2T(0.32,N11)*M9</f>
        <v>3.0327068066907121E-3</v>
      </c>
      <c r="P8" s="179">
        <f>O8*100/M8</f>
        <v>1.3422042128394209</v>
      </c>
      <c r="Q8" s="173">
        <f>-1.99*273*LN(M8)/1000</f>
        <v>0.80808301421529882</v>
      </c>
      <c r="R8" s="173">
        <f>ABS(1.99*273*O8/M8/1000)</f>
        <v>7.2917928270927225E-3</v>
      </c>
      <c r="S8" s="77"/>
    </row>
    <row r="9" spans="1:19" ht="14">
      <c r="A9" s="183"/>
      <c r="B9" s="22">
        <v>0.2</v>
      </c>
      <c r="C9" s="22">
        <v>0.2</v>
      </c>
      <c r="D9" s="22">
        <v>0.04</v>
      </c>
      <c r="E9" s="23">
        <v>1</v>
      </c>
      <c r="F9" s="23">
        <v>1.411</v>
      </c>
      <c r="G9" s="23">
        <v>0.69</v>
      </c>
      <c r="H9" s="27">
        <v>0.17499999999999999</v>
      </c>
      <c r="I9" s="24">
        <f>E9/(E9+G9)</f>
        <v>0.59171597633136097</v>
      </c>
      <c r="J9" s="23">
        <f>F9/(F9+H9)</f>
        <v>0.88965952080706179</v>
      </c>
      <c r="K9" s="25">
        <f>-LN(I9)</f>
        <v>0.52472852893498201</v>
      </c>
      <c r="L9" s="25">
        <f>-LN(J9)</f>
        <v>0.1169164503419793</v>
      </c>
      <c r="M9" s="26">
        <v>2.312257226877534E-3</v>
      </c>
      <c r="N9" s="26" t="e">
        <v>#N/A</v>
      </c>
      <c r="O9" s="177"/>
      <c r="P9" s="180"/>
      <c r="Q9" s="174"/>
      <c r="R9" s="174"/>
      <c r="S9" s="74"/>
    </row>
    <row r="10" spans="1:19">
      <c r="A10" s="183"/>
      <c r="B10" s="22">
        <v>0.2</v>
      </c>
      <c r="C10" s="22">
        <v>0.2</v>
      </c>
      <c r="D10" s="22">
        <v>0.06</v>
      </c>
      <c r="E10" s="23">
        <v>1</v>
      </c>
      <c r="F10" s="23">
        <v>1.9370000000000001</v>
      </c>
      <c r="G10" s="23">
        <v>1.8360000000000001</v>
      </c>
      <c r="H10" s="27">
        <v>0.52</v>
      </c>
      <c r="I10" s="24">
        <f t="shared" ref="I10" si="6">E10/(E10+G10)</f>
        <v>0.35260930888575454</v>
      </c>
      <c r="J10" s="23">
        <f t="shared" ref="J10" si="7">F10/(F10+H10)</f>
        <v>0.78835978835978848</v>
      </c>
      <c r="K10" s="25">
        <f t="shared" ref="K10" si="8">-LN(I10)</f>
        <v>1.0423946086698812</v>
      </c>
      <c r="L10" s="25">
        <f t="shared" ref="L10" si="9">-LN(J10)</f>
        <v>0.23780070911418308</v>
      </c>
      <c r="M10" s="26">
        <v>0.99979059469642584</v>
      </c>
      <c r="N10" s="26">
        <v>2.9297723408281064E-3</v>
      </c>
      <c r="O10" s="177"/>
      <c r="P10" s="180"/>
      <c r="Q10" s="174"/>
      <c r="R10" s="174"/>
      <c r="S10" s="55"/>
    </row>
    <row r="11" spans="1:19">
      <c r="A11" s="183"/>
      <c r="B11" s="45"/>
      <c r="C11" s="45"/>
      <c r="D11" s="45"/>
      <c r="E11" s="45"/>
      <c r="F11" s="45"/>
      <c r="G11" s="45"/>
      <c r="H11" s="45"/>
      <c r="I11" s="45"/>
      <c r="J11" s="45"/>
      <c r="K11" s="45"/>
      <c r="L11" s="45"/>
      <c r="M11" s="26">
        <v>9548.8564771959027</v>
      </c>
      <c r="N11" s="26">
        <v>2</v>
      </c>
      <c r="O11" s="177"/>
      <c r="P11" s="180"/>
      <c r="Q11" s="174"/>
      <c r="R11" s="174"/>
      <c r="S11" s="55"/>
    </row>
    <row r="12" spans="1:19">
      <c r="A12" s="183"/>
      <c r="B12" s="28"/>
      <c r="C12" s="28"/>
      <c r="D12" s="28"/>
      <c r="E12" s="28"/>
      <c r="F12" s="28"/>
      <c r="G12" s="28"/>
      <c r="H12" s="28"/>
      <c r="I12" s="28"/>
      <c r="J12" s="28"/>
      <c r="K12" s="28"/>
      <c r="L12" s="28"/>
      <c r="M12" s="26">
        <v>8.1963239501301258E-2</v>
      </c>
      <c r="N12" s="26">
        <v>1.7167131938162801E-5</v>
      </c>
      <c r="O12" s="177"/>
      <c r="P12" s="181"/>
      <c r="Q12" s="175"/>
      <c r="R12" s="175"/>
      <c r="S12" s="55"/>
    </row>
    <row r="13" spans="1:19" s="19" customFormat="1">
      <c r="A13" s="198" t="s">
        <v>851</v>
      </c>
      <c r="B13" s="30">
        <v>0.2</v>
      </c>
      <c r="C13" s="30">
        <v>0.2</v>
      </c>
      <c r="D13" s="18">
        <v>0.02</v>
      </c>
      <c r="E13" s="31">
        <v>1</v>
      </c>
      <c r="F13" s="31">
        <v>1.419</v>
      </c>
      <c r="G13" s="31">
        <v>0.373</v>
      </c>
      <c r="H13" s="49">
        <v>0.14799999999999999</v>
      </c>
      <c r="I13" s="32">
        <f>E13/(E13+G13)</f>
        <v>0.72833211944646759</v>
      </c>
      <c r="J13" s="31">
        <f>F13/(F13+H13)</f>
        <v>0.90555201021059351</v>
      </c>
      <c r="K13" s="33">
        <f>-LN(I13)</f>
        <v>0.316998126785834</v>
      </c>
      <c r="L13" s="33">
        <f>-LN(J13)</f>
        <v>9.9210565195978151E-2</v>
      </c>
      <c r="M13" s="34" cm="1">
        <f t="array" ref="M13:N17">LINEST(L13:L15,K13:K15,FALSE,TRUE)</f>
        <v>0.31071379931143406</v>
      </c>
      <c r="N13" s="34">
        <v>0</v>
      </c>
      <c r="O13" s="176">
        <f t="shared" ref="O13" si="10">_xlfn.T.INV.2T(0.32,N16)*M14</f>
        <v>9.9686560637083383E-3</v>
      </c>
      <c r="P13" s="179">
        <f>O13*100/M13</f>
        <v>3.2083081233597142</v>
      </c>
      <c r="Q13" s="173">
        <f>-1.99*273*LN(M13)/1000</f>
        <v>0.63501909454653005</v>
      </c>
      <c r="R13" s="173">
        <f>ABS(1.99*273*O13/M13/1000)</f>
        <v>1.742977554177632E-2</v>
      </c>
      <c r="S13" s="77"/>
    </row>
    <row r="14" spans="1:19">
      <c r="A14" s="183"/>
      <c r="B14" s="22">
        <v>0.2</v>
      </c>
      <c r="C14" s="22">
        <v>0.2</v>
      </c>
      <c r="D14" s="22">
        <v>0.04</v>
      </c>
      <c r="E14" s="23">
        <v>1</v>
      </c>
      <c r="F14" s="23">
        <v>1.6779999999999999</v>
      </c>
      <c r="G14" s="23">
        <v>0.67400000000000004</v>
      </c>
      <c r="H14" s="27">
        <v>0.27600000000000002</v>
      </c>
      <c r="I14" s="24">
        <f>E14/(E14+G14)</f>
        <v>0.59737156511350065</v>
      </c>
      <c r="J14" s="23">
        <f>F14/(F14+H14)</f>
        <v>0.85875127942681673</v>
      </c>
      <c r="K14" s="25">
        <f>-LN(I14)</f>
        <v>0.51521597206728353</v>
      </c>
      <c r="L14" s="25">
        <f>-LN(J14)</f>
        <v>0.15227594557557664</v>
      </c>
      <c r="M14" s="26">
        <v>7.6005029482946974E-3</v>
      </c>
      <c r="N14" s="26" t="e">
        <v>#N/A</v>
      </c>
      <c r="O14" s="177"/>
      <c r="P14" s="180"/>
      <c r="Q14" s="174"/>
      <c r="R14" s="174"/>
      <c r="S14" s="55"/>
    </row>
    <row r="15" spans="1:19">
      <c r="A15" s="183"/>
      <c r="B15" s="22">
        <v>0.2</v>
      </c>
      <c r="C15" s="22">
        <v>0.2</v>
      </c>
      <c r="D15" s="22">
        <v>0.06</v>
      </c>
      <c r="E15" s="23">
        <v>1</v>
      </c>
      <c r="F15" s="23">
        <v>1.7969999999999999</v>
      </c>
      <c r="G15" s="23">
        <v>0.95</v>
      </c>
      <c r="H15" s="27">
        <v>0.42699999999999999</v>
      </c>
      <c r="I15" s="24">
        <f t="shared" ref="I15" si="11">E15/(E15+G15)</f>
        <v>0.51282051282051289</v>
      </c>
      <c r="J15" s="23">
        <f t="shared" ref="J15" si="12">F15/(F15+H15)</f>
        <v>0.80800359712230219</v>
      </c>
      <c r="K15" s="25">
        <f t="shared" ref="K15" si="13">-LN(I15)</f>
        <v>0.66782937257565533</v>
      </c>
      <c r="L15" s="25">
        <f t="shared" ref="L15" si="14">-LN(J15)</f>
        <v>0.21318876858691391</v>
      </c>
      <c r="M15" s="26">
        <v>0.99880470760295925</v>
      </c>
      <c r="N15" s="26">
        <v>6.8486030578595756E-3</v>
      </c>
      <c r="O15" s="177"/>
      <c r="P15" s="180"/>
      <c r="Q15" s="174"/>
      <c r="R15" s="174"/>
      <c r="S15" s="55"/>
    </row>
    <row r="16" spans="1:19">
      <c r="A16" s="183"/>
      <c r="B16" s="45"/>
      <c r="C16" s="45"/>
      <c r="D16" s="45"/>
      <c r="E16" s="45"/>
      <c r="F16" s="45"/>
      <c r="G16" s="45"/>
      <c r="H16" s="45"/>
      <c r="I16" s="45"/>
      <c r="J16" s="45"/>
      <c r="K16" s="45"/>
      <c r="L16" s="45"/>
      <c r="M16" s="26">
        <v>1671.2307550448504</v>
      </c>
      <c r="N16" s="26">
        <v>2</v>
      </c>
      <c r="O16" s="177"/>
      <c r="P16" s="180"/>
      <c r="Q16" s="174"/>
      <c r="R16" s="174"/>
      <c r="S16" s="55"/>
    </row>
    <row r="17" spans="1:19">
      <c r="A17" s="183"/>
      <c r="B17" s="28"/>
      <c r="C17" s="28"/>
      <c r="D17" s="28"/>
      <c r="E17" s="28"/>
      <c r="F17" s="28"/>
      <c r="G17" s="28"/>
      <c r="H17" s="28"/>
      <c r="I17" s="28"/>
      <c r="J17" s="28"/>
      <c r="K17" s="28"/>
      <c r="L17" s="28"/>
      <c r="M17" s="26">
        <v>7.8386344171357897E-2</v>
      </c>
      <c r="N17" s="26">
        <v>9.3806727688247051E-5</v>
      </c>
      <c r="O17" s="177"/>
      <c r="P17" s="181"/>
      <c r="Q17" s="175"/>
      <c r="R17" s="175"/>
      <c r="S17" s="55"/>
    </row>
    <row r="18" spans="1:19" s="19" customFormat="1">
      <c r="A18" s="198" t="s">
        <v>852</v>
      </c>
      <c r="B18" s="30">
        <v>0.2</v>
      </c>
      <c r="C18" s="30">
        <v>0.2</v>
      </c>
      <c r="D18" s="18">
        <v>0.02</v>
      </c>
      <c r="E18" s="31">
        <v>1</v>
      </c>
      <c r="F18" s="31">
        <v>1.218</v>
      </c>
      <c r="G18" s="31">
        <v>0.52200000000000002</v>
      </c>
      <c r="H18" s="49">
        <v>0.12</v>
      </c>
      <c r="I18" s="32">
        <f t="shared" ref="I18:J20" si="15">E18/(E18+G18)</f>
        <v>0.65703022339027595</v>
      </c>
      <c r="J18" s="31">
        <f t="shared" si="15"/>
        <v>0.91031390134529144</v>
      </c>
      <c r="K18" s="33">
        <f t="shared" ref="K18:L20" si="16">-LN(I18)</f>
        <v>0.42002525943949409</v>
      </c>
      <c r="L18" s="33">
        <f t="shared" si="16"/>
        <v>9.3965792418331473E-2</v>
      </c>
      <c r="M18" s="34" cm="1">
        <f t="array" ref="M18:N22">LINEST(L18:L20,K18:K20,FALSE,TRUE)</f>
        <v>0.22277368925236862</v>
      </c>
      <c r="N18" s="34">
        <v>0</v>
      </c>
      <c r="O18" s="176">
        <f>_xlfn.T.INV.2T(0.32,N21)*M19</f>
        <v>3.7549201290982583E-3</v>
      </c>
      <c r="P18" s="179">
        <f>O18*100/M18</f>
        <v>1.6855312410095729</v>
      </c>
      <c r="Q18" s="173">
        <f>-1.99*273*LN(M18)/1000</f>
        <v>0.81577361768616319</v>
      </c>
      <c r="R18" s="173">
        <f>ABS(1.99*273*O18/M18/1000)</f>
        <v>9.1569855730327041E-3</v>
      </c>
      <c r="S18" s="77"/>
    </row>
    <row r="19" spans="1:19">
      <c r="A19" s="183"/>
      <c r="B19" s="22">
        <v>0.2</v>
      </c>
      <c r="C19" s="22">
        <v>0.2</v>
      </c>
      <c r="D19" s="22">
        <v>0.04</v>
      </c>
      <c r="E19" s="23">
        <v>1</v>
      </c>
      <c r="F19" s="23">
        <v>1.575</v>
      </c>
      <c r="G19" s="23">
        <v>1.107</v>
      </c>
      <c r="H19" s="27">
        <v>0.29599999999999999</v>
      </c>
      <c r="I19" s="24">
        <f t="shared" si="15"/>
        <v>0.47460844803037489</v>
      </c>
      <c r="J19" s="23">
        <f t="shared" si="15"/>
        <v>0.84179583110636025</v>
      </c>
      <c r="K19" s="25">
        <f t="shared" si="16"/>
        <v>0.74526513482205214</v>
      </c>
      <c r="L19" s="25">
        <f t="shared" si="16"/>
        <v>0.17221777501435617</v>
      </c>
      <c r="M19" s="26">
        <v>2.8629016117550565E-3</v>
      </c>
      <c r="N19" s="26" t="e">
        <v>#N/A</v>
      </c>
      <c r="O19" s="177"/>
      <c r="P19" s="180"/>
      <c r="Q19" s="174"/>
      <c r="R19" s="174"/>
      <c r="S19" s="55"/>
    </row>
    <row r="20" spans="1:19">
      <c r="A20" s="183"/>
      <c r="B20" s="22">
        <v>0.2</v>
      </c>
      <c r="C20" s="22">
        <v>0.2</v>
      </c>
      <c r="D20" s="22">
        <v>0.06</v>
      </c>
      <c r="E20" s="23">
        <v>1</v>
      </c>
      <c r="F20" s="23">
        <v>2.7349999999999999</v>
      </c>
      <c r="G20" s="23">
        <v>3.4660000000000002</v>
      </c>
      <c r="H20" s="27">
        <v>1.07</v>
      </c>
      <c r="I20" s="24">
        <f t="shared" si="15"/>
        <v>0.22391401701746527</v>
      </c>
      <c r="J20" s="23">
        <f t="shared" si="15"/>
        <v>0.7187910643889619</v>
      </c>
      <c r="K20" s="25">
        <f t="shared" si="16"/>
        <v>1.4964931534179662</v>
      </c>
      <c r="L20" s="25">
        <f t="shared" si="16"/>
        <v>0.3301845554397046</v>
      </c>
      <c r="M20" s="26">
        <v>0.99966980414156525</v>
      </c>
      <c r="N20" s="26">
        <v>4.9349424608351941E-3</v>
      </c>
      <c r="O20" s="177"/>
      <c r="P20" s="180"/>
      <c r="Q20" s="174"/>
      <c r="R20" s="174"/>
      <c r="S20" s="55"/>
    </row>
    <row r="21" spans="1:19">
      <c r="A21" s="183"/>
      <c r="B21" s="45"/>
      <c r="C21" s="45"/>
      <c r="D21" s="45"/>
      <c r="E21" s="45"/>
      <c r="F21" s="45"/>
      <c r="G21" s="45"/>
      <c r="H21" s="45"/>
      <c r="I21" s="45"/>
      <c r="J21" s="45"/>
      <c r="K21" s="45"/>
      <c r="L21" s="45"/>
      <c r="M21" s="26">
        <v>6055.0111614391208</v>
      </c>
      <c r="N21" s="26">
        <v>2</v>
      </c>
      <c r="O21" s="177"/>
      <c r="P21" s="180"/>
      <c r="Q21" s="174"/>
      <c r="R21" s="174"/>
      <c r="S21" s="55"/>
    </row>
    <row r="22" spans="1:19">
      <c r="A22" s="183"/>
      <c r="B22" s="28"/>
      <c r="C22" s="28"/>
      <c r="D22" s="28"/>
      <c r="E22" s="28"/>
      <c r="F22" s="28"/>
      <c r="G22" s="28"/>
      <c r="H22" s="28"/>
      <c r="I22" s="28"/>
      <c r="J22" s="28"/>
      <c r="K22" s="28"/>
      <c r="L22" s="28"/>
      <c r="M22" s="26">
        <v>0.1474616655124322</v>
      </c>
      <c r="N22" s="26">
        <v>4.8707314183508243E-5</v>
      </c>
      <c r="O22" s="177"/>
      <c r="P22" s="181"/>
      <c r="Q22" s="175"/>
      <c r="R22" s="175"/>
      <c r="S22" s="55"/>
    </row>
    <row r="23" spans="1:19" s="19" customFormat="1">
      <c r="A23" s="198" t="s">
        <v>853</v>
      </c>
      <c r="B23" s="30">
        <v>0.2</v>
      </c>
      <c r="C23" s="30">
        <v>0.2</v>
      </c>
      <c r="D23" s="18">
        <v>0.02</v>
      </c>
      <c r="E23" s="31">
        <v>1</v>
      </c>
      <c r="F23" s="31">
        <v>0.625</v>
      </c>
      <c r="G23" s="31">
        <v>0.1</v>
      </c>
      <c r="H23" s="49">
        <v>0.19600000000000001</v>
      </c>
      <c r="I23" s="32">
        <f t="shared" ref="I23:J25" si="17">E23/(E23+G23)</f>
        <v>0.90909090909090906</v>
      </c>
      <c r="J23" s="31">
        <f t="shared" si="17"/>
        <v>0.76126674786845316</v>
      </c>
      <c r="K23" s="33">
        <f t="shared" ref="K23:L25" si="18">-LN(I23)</f>
        <v>9.5310179804324893E-2</v>
      </c>
      <c r="L23" s="33">
        <f t="shared" si="18"/>
        <v>0.27277145971602662</v>
      </c>
      <c r="M23" s="34" cm="1">
        <f t="array" ref="M23:N27">LINEST(L23:L25,K23:K25,FALSE,TRUE)</f>
        <v>2.9777040261964349</v>
      </c>
      <c r="N23" s="34">
        <v>0</v>
      </c>
      <c r="O23" s="176">
        <f t="shared" ref="O23" si="19">_xlfn.T.INV.2T(0.32,N26)*M24</f>
        <v>6.6829076904790091E-2</v>
      </c>
      <c r="P23" s="179">
        <f>O23*100/M23</f>
        <v>2.244315630998226</v>
      </c>
      <c r="Q23" s="173">
        <f>-1.99*273*LN(M23)/1000</f>
        <v>-0.59279044179210749</v>
      </c>
      <c r="R23" s="173">
        <f>ABS(1.99*273*O23/M23/1000)</f>
        <v>1.2192693528524059E-2</v>
      </c>
      <c r="S23" s="77"/>
    </row>
    <row r="24" spans="1:19">
      <c r="A24" s="183"/>
      <c r="B24" s="22">
        <v>0.2</v>
      </c>
      <c r="C24" s="22">
        <v>0.2</v>
      </c>
      <c r="D24" s="22">
        <v>0.04</v>
      </c>
      <c r="E24" s="23">
        <v>1</v>
      </c>
      <c r="F24" s="23">
        <v>0.52500000000000002</v>
      </c>
      <c r="G24" s="23">
        <v>0.17</v>
      </c>
      <c r="H24" s="27">
        <v>0.32700000000000001</v>
      </c>
      <c r="I24" s="24">
        <f t="shared" si="17"/>
        <v>0.85470085470085477</v>
      </c>
      <c r="J24" s="23">
        <f t="shared" si="17"/>
        <v>0.61619718309859151</v>
      </c>
      <c r="K24" s="25">
        <f t="shared" si="18"/>
        <v>0.15700374880966467</v>
      </c>
      <c r="L24" s="25">
        <f t="shared" si="18"/>
        <v>0.48418826423769207</v>
      </c>
      <c r="M24" s="26">
        <v>5.0953166886341404E-2</v>
      </c>
      <c r="N24" s="26" t="e">
        <v>#N/A</v>
      </c>
      <c r="O24" s="177"/>
      <c r="P24" s="180"/>
      <c r="Q24" s="174"/>
      <c r="R24" s="174"/>
      <c r="S24" s="55"/>
    </row>
    <row r="25" spans="1:19">
      <c r="A25" s="183"/>
      <c r="B25" s="22">
        <v>0.2</v>
      </c>
      <c r="C25" s="22">
        <v>0.2</v>
      </c>
      <c r="D25" s="22">
        <v>0.06</v>
      </c>
      <c r="E25" s="23">
        <v>1</v>
      </c>
      <c r="F25" s="23">
        <v>0.42699999999999999</v>
      </c>
      <c r="G25" s="23">
        <v>0.25700000000000001</v>
      </c>
      <c r="H25" s="27">
        <v>0.41099999999999998</v>
      </c>
      <c r="I25" s="24">
        <f t="shared" si="17"/>
        <v>0.79554494828957834</v>
      </c>
      <c r="J25" s="23">
        <f t="shared" si="17"/>
        <v>0.50954653937947492</v>
      </c>
      <c r="K25" s="25">
        <f t="shared" si="18"/>
        <v>0.22872792960811039</v>
      </c>
      <c r="L25" s="25">
        <f t="shared" si="18"/>
        <v>0.67423408725345857</v>
      </c>
      <c r="M25" s="26">
        <v>0.99941473163552907</v>
      </c>
      <c r="N25" s="26">
        <v>1.4946803265141188E-2</v>
      </c>
      <c r="O25" s="177"/>
      <c r="P25" s="180"/>
      <c r="Q25" s="174"/>
      <c r="R25" s="174"/>
      <c r="S25" s="55"/>
    </row>
    <row r="26" spans="1:19">
      <c r="A26" s="183"/>
      <c r="B26" s="45"/>
      <c r="C26" s="45"/>
      <c r="D26" s="45"/>
      <c r="E26" s="45"/>
      <c r="F26" s="45"/>
      <c r="G26" s="45"/>
      <c r="H26" s="45"/>
      <c r="I26" s="45"/>
      <c r="J26" s="45"/>
      <c r="K26" s="45"/>
      <c r="L26" s="45"/>
      <c r="M26" s="26">
        <v>3415.235786882246</v>
      </c>
      <c r="N26" s="26">
        <v>2</v>
      </c>
      <c r="O26" s="177"/>
      <c r="P26" s="180"/>
      <c r="Q26" s="174"/>
      <c r="R26" s="174"/>
      <c r="S26" s="55"/>
    </row>
    <row r="27" spans="1:19">
      <c r="A27" s="184"/>
      <c r="B27" s="28"/>
      <c r="C27" s="28"/>
      <c r="D27" s="28"/>
      <c r="E27" s="28"/>
      <c r="F27" s="28"/>
      <c r="G27" s="28"/>
      <c r="H27" s="28"/>
      <c r="I27" s="28"/>
      <c r="J27" s="28"/>
      <c r="K27" s="28"/>
      <c r="L27" s="28"/>
      <c r="M27" s="26">
        <v>0.76298733501993166</v>
      </c>
      <c r="N27" s="26">
        <v>4.4681385569367055E-4</v>
      </c>
      <c r="O27" s="178"/>
      <c r="P27" s="181"/>
      <c r="Q27" s="175"/>
      <c r="R27" s="175"/>
      <c r="S27" s="76"/>
    </row>
    <row r="28" spans="1:19" s="19" customFormat="1">
      <c r="A28" s="93"/>
      <c r="B28" s="18"/>
      <c r="C28" s="18"/>
      <c r="D28" s="18"/>
      <c r="E28" s="49"/>
      <c r="F28" s="49"/>
      <c r="G28" s="49"/>
      <c r="H28" s="49"/>
      <c r="I28" s="49"/>
      <c r="J28" s="49"/>
      <c r="K28" s="50"/>
      <c r="L28" s="50"/>
      <c r="O28" s="16"/>
      <c r="P28" s="17"/>
      <c r="Q28" s="18"/>
    </row>
  </sheetData>
  <mergeCells count="32">
    <mergeCell ref="A18:A22"/>
    <mergeCell ref="O18:O22"/>
    <mergeCell ref="P18:P22"/>
    <mergeCell ref="Q18:Q22"/>
    <mergeCell ref="R18:R22"/>
    <mergeCell ref="A23:A27"/>
    <mergeCell ref="O23:O27"/>
    <mergeCell ref="P23:P27"/>
    <mergeCell ref="Q23:Q27"/>
    <mergeCell ref="R23:R27"/>
    <mergeCell ref="R13:R17"/>
    <mergeCell ref="A8:A12"/>
    <mergeCell ref="O8:O12"/>
    <mergeCell ref="P8:P12"/>
    <mergeCell ref="Q8:Q12"/>
    <mergeCell ref="R8:R12"/>
    <mergeCell ref="A3:A7"/>
    <mergeCell ref="O3:O7"/>
    <mergeCell ref="P3:P7"/>
    <mergeCell ref="Q3:Q7"/>
    <mergeCell ref="A13:A17"/>
    <mergeCell ref="O13:O17"/>
    <mergeCell ref="P13:P17"/>
    <mergeCell ref="Q13:Q17"/>
    <mergeCell ref="R3:R7"/>
    <mergeCell ref="B1:D1"/>
    <mergeCell ref="E1:H1"/>
    <mergeCell ref="I1:J1"/>
    <mergeCell ref="K1:L1"/>
    <mergeCell ref="O1:P1"/>
    <mergeCell ref="Q1:R1"/>
    <mergeCell ref="M2:N2"/>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25611-2311-46F0-88F9-4D7728C460EA}">
  <dimension ref="A1:Q34"/>
  <sheetViews>
    <sheetView zoomScale="83" zoomScaleNormal="69" workbookViewId="0">
      <pane xSplit="1" ySplit="2" topLeftCell="E10" activePane="bottomRight" state="frozen"/>
      <selection pane="topRight" activeCell="B1" sqref="B1"/>
      <selection pane="bottomLeft" activeCell="A2" sqref="A2"/>
      <selection pane="bottomRight" activeCell="S29" sqref="S29"/>
    </sheetView>
  </sheetViews>
  <sheetFormatPr baseColWidth="10" defaultColWidth="9" defaultRowHeight="13"/>
  <cols>
    <col min="1" max="1" width="5.5" style="81" bestFit="1" customWidth="1"/>
    <col min="2" max="2" width="9.6640625" style="15" customWidth="1"/>
    <col min="3" max="3" width="9.1640625" style="27" customWidth="1"/>
    <col min="4" max="4" width="19.5" style="1" bestFit="1" customWidth="1"/>
    <col min="5" max="5" width="9" style="3"/>
    <col min="6" max="6" width="10.33203125" style="3" bestFit="1" customWidth="1"/>
    <col min="7" max="7" width="10.5" style="15" bestFit="1" customWidth="1"/>
    <col min="8" max="8" width="11.6640625" style="15" bestFit="1" customWidth="1"/>
    <col min="9" max="9" width="13.1640625" style="15" bestFit="1" customWidth="1"/>
    <col min="10" max="10" width="9" style="105"/>
    <col min="11" max="11" width="9" style="1"/>
    <col min="12" max="12" width="10" style="3" bestFit="1" customWidth="1"/>
    <col min="13" max="13" width="6.5" style="3" bestFit="1" customWidth="1"/>
    <col min="14" max="14" width="11.6640625" style="3" customWidth="1"/>
    <col min="15" max="15" width="5.6640625" style="3" bestFit="1" customWidth="1"/>
    <col min="16" max="16" width="6.5" style="3" bestFit="1" customWidth="1"/>
    <col min="17" max="16384" width="9" style="2"/>
  </cols>
  <sheetData>
    <row r="1" spans="1:17" s="81" customFormat="1">
      <c r="B1" s="160" t="s">
        <v>854</v>
      </c>
      <c r="C1" s="160"/>
      <c r="D1" s="86"/>
      <c r="E1" s="160" t="s">
        <v>855</v>
      </c>
      <c r="F1" s="160"/>
      <c r="G1" s="160"/>
      <c r="H1" s="160"/>
      <c r="I1" s="160"/>
      <c r="J1" s="160" t="s">
        <v>856</v>
      </c>
      <c r="K1" s="160"/>
      <c r="L1" s="160"/>
      <c r="M1" s="160"/>
      <c r="N1" s="160"/>
      <c r="O1" s="160"/>
      <c r="P1" s="160"/>
    </row>
    <row r="2" spans="1:17" s="81" customFormat="1">
      <c r="A2" s="81" t="s">
        <v>9</v>
      </c>
      <c r="B2" s="87" t="s">
        <v>857</v>
      </c>
      <c r="C2" s="94" t="s">
        <v>858</v>
      </c>
      <c r="D2" s="86" t="s">
        <v>859</v>
      </c>
      <c r="E2" s="87" t="s">
        <v>860</v>
      </c>
      <c r="F2" s="107" t="s">
        <v>861</v>
      </c>
      <c r="G2" s="107" t="s">
        <v>862</v>
      </c>
      <c r="H2" s="107" t="s">
        <v>863</v>
      </c>
      <c r="I2" s="107" t="s">
        <v>864</v>
      </c>
      <c r="J2" s="104" t="s">
        <v>865</v>
      </c>
      <c r="K2" s="86" t="s">
        <v>860</v>
      </c>
      <c r="L2" s="108" t="s">
        <v>866</v>
      </c>
      <c r="M2" s="108">
        <v>2</v>
      </c>
      <c r="N2" s="109" t="s">
        <v>867</v>
      </c>
      <c r="O2" s="108">
        <v>3</v>
      </c>
      <c r="P2" s="108">
        <v>4</v>
      </c>
      <c r="Q2" s="81" t="s">
        <v>721</v>
      </c>
    </row>
    <row r="3" spans="1:17">
      <c r="A3" s="81">
        <v>0</v>
      </c>
      <c r="B3" s="15" t="s">
        <v>868</v>
      </c>
      <c r="C3" s="27" t="s">
        <v>868</v>
      </c>
      <c r="D3" s="1" t="s">
        <v>868</v>
      </c>
      <c r="E3" s="15" t="s">
        <v>868</v>
      </c>
      <c r="F3" s="15" t="s">
        <v>868</v>
      </c>
      <c r="G3" s="15" t="s">
        <v>868</v>
      </c>
      <c r="H3" s="15" t="s">
        <v>868</v>
      </c>
      <c r="I3" s="15" t="s">
        <v>868</v>
      </c>
      <c r="J3" s="105">
        <v>0</v>
      </c>
      <c r="K3" s="15">
        <v>100</v>
      </c>
      <c r="L3" s="15">
        <v>0</v>
      </c>
      <c r="M3" s="15">
        <v>0</v>
      </c>
      <c r="N3" s="15">
        <v>100</v>
      </c>
      <c r="O3" s="15">
        <v>0</v>
      </c>
      <c r="P3" s="15">
        <v>0</v>
      </c>
      <c r="Q3" s="72"/>
    </row>
    <row r="4" spans="1:17">
      <c r="A4" s="81">
        <v>1</v>
      </c>
      <c r="B4" s="15">
        <v>0.5</v>
      </c>
      <c r="C4" s="27">
        <v>0.04</v>
      </c>
      <c r="D4" s="1">
        <v>60</v>
      </c>
      <c r="E4" s="15">
        <v>1</v>
      </c>
      <c r="F4" s="15">
        <v>4.2000000000000003E-2</v>
      </c>
      <c r="G4" s="15">
        <v>0.27</v>
      </c>
      <c r="H4" s="15">
        <v>0</v>
      </c>
      <c r="I4" s="15">
        <v>0</v>
      </c>
      <c r="J4" s="105">
        <f t="shared" ref="J4:J34" si="0">100-SUM(K4,N4)/2</f>
        <v>11.890243902439025</v>
      </c>
      <c r="K4" s="15">
        <f t="shared" ref="K4:K34" si="1">E4/SUM($E4:$G4)*100</f>
        <v>76.219512195121951</v>
      </c>
      <c r="L4" s="15">
        <f t="shared" ref="L4:L34" si="2">F4/SUM($E4:$G4)*100</f>
        <v>3.2012195121951219</v>
      </c>
      <c r="M4" s="15">
        <f t="shared" ref="M4:M34" si="3">G4/SUM($E4:$G4)*100</f>
        <v>20.579268292682929</v>
      </c>
      <c r="N4" s="15">
        <f t="shared" ref="N4:N32" si="4">100-(SUM(H4:I4)/SUM($E4:$G4)*100)</f>
        <v>100</v>
      </c>
      <c r="O4" s="15">
        <f t="shared" ref="O4:O34" si="5">H4/SUM($E4:$G4)*100</f>
        <v>0</v>
      </c>
      <c r="P4" s="15">
        <f t="shared" ref="P4:P34" si="6">I4/SUM($E4:$G4)*100</f>
        <v>0</v>
      </c>
      <c r="Q4" s="72"/>
    </row>
    <row r="5" spans="1:17">
      <c r="A5" s="81">
        <v>2</v>
      </c>
      <c r="B5" s="15">
        <v>0.5</v>
      </c>
      <c r="C5" s="27">
        <v>7.0000000000000007E-2</v>
      </c>
      <c r="D5" s="1">
        <v>60</v>
      </c>
      <c r="E5" s="15">
        <v>1</v>
      </c>
      <c r="F5" s="15">
        <v>0.13</v>
      </c>
      <c r="G5" s="15">
        <v>0.66</v>
      </c>
      <c r="H5" s="15">
        <v>0</v>
      </c>
      <c r="I5" s="15">
        <v>0</v>
      </c>
      <c r="J5" s="105">
        <f t="shared" si="0"/>
        <v>22.067039106145245</v>
      </c>
      <c r="K5" s="15">
        <f t="shared" si="1"/>
        <v>55.865921787709496</v>
      </c>
      <c r="L5" s="15">
        <f t="shared" si="2"/>
        <v>7.2625698324022352</v>
      </c>
      <c r="M5" s="15">
        <f t="shared" si="3"/>
        <v>36.871508379888269</v>
      </c>
      <c r="N5" s="15">
        <f t="shared" si="4"/>
        <v>100</v>
      </c>
      <c r="O5" s="15">
        <f t="shared" si="5"/>
        <v>0</v>
      </c>
      <c r="P5" s="15">
        <f t="shared" si="6"/>
        <v>0</v>
      </c>
      <c r="Q5" s="72"/>
    </row>
    <row r="6" spans="1:17">
      <c r="A6" s="81">
        <v>3</v>
      </c>
      <c r="B6" s="15">
        <v>0.5</v>
      </c>
      <c r="C6" s="27">
        <v>0.1</v>
      </c>
      <c r="D6" s="1">
        <v>60</v>
      </c>
      <c r="E6" s="15">
        <v>1</v>
      </c>
      <c r="F6" s="15">
        <v>0.17</v>
      </c>
      <c r="G6" s="15">
        <v>1</v>
      </c>
      <c r="H6" s="15">
        <v>0</v>
      </c>
      <c r="I6" s="15">
        <v>0</v>
      </c>
      <c r="J6" s="105">
        <f t="shared" si="0"/>
        <v>26.958525345622121</v>
      </c>
      <c r="K6" s="15">
        <f t="shared" si="1"/>
        <v>46.082949308755758</v>
      </c>
      <c r="L6" s="15">
        <f t="shared" si="2"/>
        <v>7.8341013824884804</v>
      </c>
      <c r="M6" s="15">
        <f t="shared" si="3"/>
        <v>46.082949308755758</v>
      </c>
      <c r="N6" s="15">
        <f t="shared" si="4"/>
        <v>100</v>
      </c>
      <c r="O6" s="15">
        <f t="shared" si="5"/>
        <v>0</v>
      </c>
      <c r="P6" s="15">
        <f t="shared" si="6"/>
        <v>0</v>
      </c>
      <c r="Q6" s="72"/>
    </row>
    <row r="7" spans="1:17">
      <c r="A7" s="81">
        <v>4</v>
      </c>
      <c r="B7" s="15">
        <v>0.1</v>
      </c>
      <c r="C7" s="27">
        <v>2.5000000000000001E-2</v>
      </c>
      <c r="D7" s="1">
        <v>60</v>
      </c>
      <c r="E7" s="15">
        <v>1</v>
      </c>
      <c r="F7" s="15">
        <v>0.24</v>
      </c>
      <c r="G7" s="15">
        <v>1.65</v>
      </c>
      <c r="H7" s="15">
        <v>0</v>
      </c>
      <c r="I7" s="15">
        <v>0</v>
      </c>
      <c r="J7" s="105">
        <f t="shared" si="0"/>
        <v>32.698961937716263</v>
      </c>
      <c r="K7" s="15">
        <f t="shared" si="1"/>
        <v>34.602076124567475</v>
      </c>
      <c r="L7" s="15">
        <f t="shared" si="2"/>
        <v>8.3044982698961949</v>
      </c>
      <c r="M7" s="15">
        <f t="shared" si="3"/>
        <v>57.093425605536339</v>
      </c>
      <c r="N7" s="15">
        <f t="shared" si="4"/>
        <v>100</v>
      </c>
      <c r="O7" s="15">
        <f t="shared" si="5"/>
        <v>0</v>
      </c>
      <c r="P7" s="15">
        <f t="shared" si="6"/>
        <v>0</v>
      </c>
      <c r="Q7" s="72"/>
    </row>
    <row r="8" spans="1:17">
      <c r="A8" s="81">
        <v>5</v>
      </c>
      <c r="B8" s="15">
        <v>0.1</v>
      </c>
      <c r="C8" s="27">
        <v>0.05</v>
      </c>
      <c r="D8" s="1">
        <v>60</v>
      </c>
      <c r="E8" s="15">
        <v>1</v>
      </c>
      <c r="F8" s="15">
        <v>0.33</v>
      </c>
      <c r="G8" s="15">
        <v>2.21</v>
      </c>
      <c r="H8" s="15">
        <v>0</v>
      </c>
      <c r="I8" s="15">
        <v>0</v>
      </c>
      <c r="J8" s="105">
        <f t="shared" si="0"/>
        <v>35.875706214689259</v>
      </c>
      <c r="K8" s="15">
        <f t="shared" si="1"/>
        <v>28.248587570621471</v>
      </c>
      <c r="L8" s="15">
        <f t="shared" si="2"/>
        <v>9.3220338983050848</v>
      </c>
      <c r="M8" s="15">
        <f t="shared" si="3"/>
        <v>62.429378531073439</v>
      </c>
      <c r="N8" s="15">
        <f t="shared" si="4"/>
        <v>100</v>
      </c>
      <c r="O8" s="15">
        <f t="shared" si="5"/>
        <v>0</v>
      </c>
      <c r="P8" s="15">
        <f t="shared" si="6"/>
        <v>0</v>
      </c>
      <c r="Q8" s="72"/>
    </row>
    <row r="9" spans="1:17">
      <c r="A9" s="81">
        <v>6</v>
      </c>
      <c r="B9" s="15">
        <v>0.1</v>
      </c>
      <c r="C9" s="27">
        <v>0.03</v>
      </c>
      <c r="D9" s="1">
        <v>60</v>
      </c>
      <c r="E9" s="15">
        <v>1</v>
      </c>
      <c r="F9" s="15">
        <v>0.42</v>
      </c>
      <c r="G9" s="15">
        <v>2.4500000000000002</v>
      </c>
      <c r="H9" s="15">
        <v>0</v>
      </c>
      <c r="I9" s="15">
        <v>0</v>
      </c>
      <c r="J9" s="105">
        <f t="shared" si="0"/>
        <v>37.08010335917313</v>
      </c>
      <c r="K9" s="15">
        <f t="shared" si="1"/>
        <v>25.839793281653744</v>
      </c>
      <c r="L9" s="15">
        <f t="shared" si="2"/>
        <v>10.852713178294573</v>
      </c>
      <c r="M9" s="15">
        <f t="shared" si="3"/>
        <v>63.307493540051688</v>
      </c>
      <c r="N9" s="15">
        <f t="shared" si="4"/>
        <v>100</v>
      </c>
      <c r="O9" s="15">
        <f t="shared" si="5"/>
        <v>0</v>
      </c>
      <c r="P9" s="15">
        <f t="shared" si="6"/>
        <v>0</v>
      </c>
      <c r="Q9" s="72"/>
    </row>
    <row r="10" spans="1:17">
      <c r="A10" s="81">
        <v>7</v>
      </c>
      <c r="B10" s="15">
        <v>0.1</v>
      </c>
      <c r="C10" s="27">
        <v>0.04</v>
      </c>
      <c r="D10" s="1">
        <v>60</v>
      </c>
      <c r="E10" s="15">
        <v>1</v>
      </c>
      <c r="F10" s="15">
        <v>0.56000000000000005</v>
      </c>
      <c r="G10" s="15">
        <v>3.56</v>
      </c>
      <c r="H10" s="15">
        <v>0</v>
      </c>
      <c r="I10" s="15">
        <v>0</v>
      </c>
      <c r="J10" s="105">
        <f t="shared" si="0"/>
        <v>40.234375</v>
      </c>
      <c r="K10" s="15">
        <f t="shared" si="1"/>
        <v>19.53125</v>
      </c>
      <c r="L10" s="15">
        <f t="shared" si="2"/>
        <v>10.937500000000002</v>
      </c>
      <c r="M10" s="15">
        <f t="shared" si="3"/>
        <v>69.53125</v>
      </c>
      <c r="N10" s="15">
        <f t="shared" si="4"/>
        <v>100</v>
      </c>
      <c r="O10" s="15">
        <f t="shared" si="5"/>
        <v>0</v>
      </c>
      <c r="P10" s="15">
        <f t="shared" si="6"/>
        <v>0</v>
      </c>
      <c r="Q10" s="72"/>
    </row>
    <row r="11" spans="1:17">
      <c r="A11" s="81">
        <v>8</v>
      </c>
      <c r="B11" s="15">
        <v>0.08</v>
      </c>
      <c r="C11" s="27">
        <v>0.04</v>
      </c>
      <c r="D11" s="1">
        <v>5</v>
      </c>
      <c r="E11" s="15">
        <v>0.33</v>
      </c>
      <c r="F11" s="15">
        <v>1</v>
      </c>
      <c r="G11" s="15">
        <v>7.17</v>
      </c>
      <c r="H11" s="15">
        <f t="shared" ref="H11:H32" si="7">I11/9</f>
        <v>2.2222222222222223E-2</v>
      </c>
      <c r="I11" s="15">
        <v>0.2</v>
      </c>
      <c r="J11" s="105">
        <f t="shared" si="0"/>
        <v>49.366013071895424</v>
      </c>
      <c r="K11" s="15">
        <f t="shared" si="1"/>
        <v>3.882352941176471</v>
      </c>
      <c r="L11" s="15">
        <f t="shared" si="2"/>
        <v>11.76470588235294</v>
      </c>
      <c r="M11" s="15">
        <f t="shared" si="3"/>
        <v>84.35294117647058</v>
      </c>
      <c r="N11" s="15">
        <f t="shared" si="4"/>
        <v>97.385620915032675</v>
      </c>
      <c r="O11" s="15">
        <f t="shared" si="5"/>
        <v>0.26143790849673204</v>
      </c>
      <c r="P11" s="15">
        <f t="shared" si="6"/>
        <v>2.3529411764705883</v>
      </c>
      <c r="Q11" s="72"/>
    </row>
    <row r="12" spans="1:17">
      <c r="A12" s="81">
        <v>9</v>
      </c>
      <c r="B12" s="15">
        <v>0.08</v>
      </c>
      <c r="C12" s="27">
        <v>0.04</v>
      </c>
      <c r="D12" s="1">
        <v>10</v>
      </c>
      <c r="E12" s="15">
        <v>0.23</v>
      </c>
      <c r="F12" s="15">
        <v>1</v>
      </c>
      <c r="G12" s="15">
        <v>7.18</v>
      </c>
      <c r="H12" s="15">
        <f t="shared" si="7"/>
        <v>2.7E-2</v>
      </c>
      <c r="I12" s="15">
        <v>0.24299999999999999</v>
      </c>
      <c r="J12" s="105">
        <f t="shared" si="0"/>
        <v>50.237812128418547</v>
      </c>
      <c r="K12" s="15">
        <f t="shared" si="1"/>
        <v>2.7348394768133177</v>
      </c>
      <c r="L12" s="15">
        <f t="shared" si="2"/>
        <v>11.890606420927467</v>
      </c>
      <c r="M12" s="15">
        <f t="shared" si="3"/>
        <v>85.374554102259211</v>
      </c>
      <c r="N12" s="15">
        <f t="shared" si="4"/>
        <v>96.789536266349586</v>
      </c>
      <c r="O12" s="15">
        <f t="shared" si="5"/>
        <v>0.3210463733650416</v>
      </c>
      <c r="P12" s="15">
        <f t="shared" si="6"/>
        <v>2.8894173602853743</v>
      </c>
      <c r="Q12" s="72"/>
    </row>
    <row r="13" spans="1:17">
      <c r="A13" s="81">
        <v>10</v>
      </c>
      <c r="B13" s="15">
        <v>0.08</v>
      </c>
      <c r="C13" s="27">
        <v>0.04</v>
      </c>
      <c r="D13" s="1">
        <v>25</v>
      </c>
      <c r="E13" s="15">
        <v>0.14000000000000001</v>
      </c>
      <c r="F13" s="15">
        <v>1</v>
      </c>
      <c r="G13" s="15">
        <v>7.2</v>
      </c>
      <c r="H13" s="15">
        <f t="shared" si="7"/>
        <v>2.4666666666666667E-2</v>
      </c>
      <c r="I13" s="15">
        <v>0.222</v>
      </c>
      <c r="J13" s="105">
        <f t="shared" si="0"/>
        <v>50.639488409272587</v>
      </c>
      <c r="K13" s="15">
        <f t="shared" si="1"/>
        <v>1.6786570743405278</v>
      </c>
      <c r="L13" s="15">
        <f t="shared" si="2"/>
        <v>11.990407673860911</v>
      </c>
      <c r="M13" s="15">
        <f t="shared" si="3"/>
        <v>86.330935251798564</v>
      </c>
      <c r="N13" s="15">
        <f t="shared" si="4"/>
        <v>97.042366107114304</v>
      </c>
      <c r="O13" s="15">
        <f t="shared" si="5"/>
        <v>0.29576338928856916</v>
      </c>
      <c r="P13" s="15">
        <f t="shared" si="6"/>
        <v>2.6618705035971226</v>
      </c>
      <c r="Q13" s="72"/>
    </row>
    <row r="14" spans="1:17">
      <c r="A14" s="81">
        <v>11</v>
      </c>
      <c r="B14" s="15">
        <v>0.08</v>
      </c>
      <c r="C14" s="27">
        <v>0.04</v>
      </c>
      <c r="D14" s="1">
        <v>20</v>
      </c>
      <c r="E14" s="15">
        <v>0.13</v>
      </c>
      <c r="F14" s="15">
        <v>1</v>
      </c>
      <c r="G14" s="15">
        <v>7.14</v>
      </c>
      <c r="H14" s="15">
        <f t="shared" si="7"/>
        <v>2.5777777777777778E-2</v>
      </c>
      <c r="I14" s="15">
        <v>0.23200000000000001</v>
      </c>
      <c r="J14" s="105">
        <f t="shared" si="0"/>
        <v>50.772537955125621</v>
      </c>
      <c r="K14" s="15">
        <f t="shared" si="1"/>
        <v>1.5719467956469169</v>
      </c>
      <c r="L14" s="15">
        <f t="shared" si="2"/>
        <v>12.091898428053206</v>
      </c>
      <c r="M14" s="15">
        <f t="shared" si="3"/>
        <v>86.336154776299878</v>
      </c>
      <c r="N14" s="15">
        <f t="shared" si="4"/>
        <v>96.882977294101835</v>
      </c>
      <c r="O14" s="15">
        <f t="shared" si="5"/>
        <v>0.31170227058981592</v>
      </c>
      <c r="P14" s="15">
        <f t="shared" si="6"/>
        <v>2.8053204353083436</v>
      </c>
      <c r="Q14" s="72"/>
    </row>
    <row r="15" spans="1:17">
      <c r="A15" s="81">
        <v>12</v>
      </c>
      <c r="B15" s="15">
        <v>0.08</v>
      </c>
      <c r="C15" s="27">
        <v>0.04</v>
      </c>
      <c r="D15" s="1">
        <v>15</v>
      </c>
      <c r="E15" s="15">
        <v>0.11</v>
      </c>
      <c r="F15" s="15">
        <v>1</v>
      </c>
      <c r="G15" s="15">
        <v>6.9</v>
      </c>
      <c r="H15" s="15">
        <f t="shared" si="7"/>
        <v>2.5333333333333333E-2</v>
      </c>
      <c r="I15" s="15">
        <v>0.22800000000000001</v>
      </c>
      <c r="J15" s="105">
        <f t="shared" si="0"/>
        <v>50.894714939658762</v>
      </c>
      <c r="K15" s="15">
        <f t="shared" si="1"/>
        <v>1.3732833957553059</v>
      </c>
      <c r="L15" s="15">
        <f t="shared" si="2"/>
        <v>12.484394506866417</v>
      </c>
      <c r="M15" s="15">
        <f t="shared" si="3"/>
        <v>86.142322097378283</v>
      </c>
      <c r="N15" s="15">
        <f t="shared" si="4"/>
        <v>96.837286724927168</v>
      </c>
      <c r="O15" s="15">
        <f t="shared" si="5"/>
        <v>0.3162713275072826</v>
      </c>
      <c r="P15" s="15">
        <f t="shared" si="6"/>
        <v>2.8464419475655434</v>
      </c>
      <c r="Q15" s="72"/>
    </row>
    <row r="16" spans="1:17">
      <c r="A16" s="81">
        <v>13</v>
      </c>
      <c r="B16" s="15">
        <v>0.08</v>
      </c>
      <c r="C16" s="27">
        <v>0.04</v>
      </c>
      <c r="D16" s="1">
        <v>35</v>
      </c>
      <c r="E16" s="15">
        <v>0.02</v>
      </c>
      <c r="F16" s="15">
        <v>1</v>
      </c>
      <c r="G16" s="15">
        <v>7.17</v>
      </c>
      <c r="H16" s="15">
        <f t="shared" si="7"/>
        <v>2.9555555555555557E-2</v>
      </c>
      <c r="I16" s="15">
        <v>0.26600000000000001</v>
      </c>
      <c r="J16" s="105">
        <f t="shared" si="0"/>
        <v>51.682268348935018</v>
      </c>
      <c r="K16" s="15">
        <f t="shared" si="1"/>
        <v>0.24420024420024419</v>
      </c>
      <c r="L16" s="15">
        <f t="shared" si="2"/>
        <v>12.210012210012211</v>
      </c>
      <c r="M16" s="15">
        <f t="shared" si="3"/>
        <v>87.545787545787547</v>
      </c>
      <c r="N16" s="15">
        <f t="shared" si="4"/>
        <v>96.39126305792972</v>
      </c>
      <c r="O16" s="15">
        <f t="shared" si="5"/>
        <v>0.36087369420702758</v>
      </c>
      <c r="P16" s="15">
        <f t="shared" si="6"/>
        <v>3.2478632478632483</v>
      </c>
      <c r="Q16" s="72"/>
    </row>
    <row r="17" spans="1:17">
      <c r="A17" s="81">
        <v>14</v>
      </c>
      <c r="B17" s="15">
        <v>0.08</v>
      </c>
      <c r="C17" s="27">
        <v>0.04</v>
      </c>
      <c r="D17" s="1">
        <v>30</v>
      </c>
      <c r="E17" s="15">
        <v>0.02</v>
      </c>
      <c r="F17" s="15">
        <v>1</v>
      </c>
      <c r="G17" s="15">
        <v>7.07</v>
      </c>
      <c r="H17" s="15">
        <f>I17/9</f>
        <v>3.0888888888888893E-2</v>
      </c>
      <c r="I17" s="15">
        <v>0.27800000000000002</v>
      </c>
      <c r="J17" s="105">
        <f t="shared" si="0"/>
        <v>51.785469028979534</v>
      </c>
      <c r="K17" s="15">
        <f t="shared" si="1"/>
        <v>0.24721878862793575</v>
      </c>
      <c r="L17" s="15">
        <f t="shared" si="2"/>
        <v>12.360939431396787</v>
      </c>
      <c r="M17" s="15">
        <f t="shared" si="3"/>
        <v>87.391841779975294</v>
      </c>
      <c r="N17" s="15">
        <f t="shared" si="4"/>
        <v>96.181843153412999</v>
      </c>
      <c r="O17" s="15">
        <f t="shared" si="5"/>
        <v>0.3818156846587008</v>
      </c>
      <c r="P17" s="15">
        <f t="shared" si="6"/>
        <v>3.4363411619283064</v>
      </c>
      <c r="Q17" s="72"/>
    </row>
    <row r="18" spans="1:17">
      <c r="A18" s="81">
        <v>15</v>
      </c>
      <c r="B18" s="15">
        <v>0.1</v>
      </c>
      <c r="C18" s="27">
        <v>0.05</v>
      </c>
      <c r="D18" s="1">
        <v>25</v>
      </c>
      <c r="E18" s="15">
        <v>0</v>
      </c>
      <c r="F18" s="15">
        <v>0.15</v>
      </c>
      <c r="G18" s="15">
        <v>1</v>
      </c>
      <c r="H18" s="15">
        <f t="shared" si="7"/>
        <v>4.1111111111111105E-3</v>
      </c>
      <c r="I18" s="15">
        <v>3.6999999999999998E-2</v>
      </c>
      <c r="J18" s="105">
        <f t="shared" si="0"/>
        <v>51.787439613526573</v>
      </c>
      <c r="K18" s="15">
        <f t="shared" si="1"/>
        <v>0</v>
      </c>
      <c r="L18" s="15">
        <f t="shared" si="2"/>
        <v>13.043478260869565</v>
      </c>
      <c r="M18" s="15">
        <f t="shared" si="3"/>
        <v>86.956521739130437</v>
      </c>
      <c r="N18" s="15">
        <f t="shared" si="4"/>
        <v>96.425120772946855</v>
      </c>
      <c r="O18" s="15">
        <f t="shared" si="5"/>
        <v>0.35748792270531399</v>
      </c>
      <c r="P18" s="15">
        <f t="shared" si="6"/>
        <v>3.2173913043478262</v>
      </c>
      <c r="Q18" s="72"/>
    </row>
    <row r="19" spans="1:17">
      <c r="A19" s="81">
        <v>16</v>
      </c>
      <c r="B19" s="15">
        <v>0.08</v>
      </c>
      <c r="C19" s="27">
        <v>0.04</v>
      </c>
      <c r="D19" s="1">
        <v>45</v>
      </c>
      <c r="E19" s="15">
        <v>0</v>
      </c>
      <c r="F19" s="15">
        <v>1</v>
      </c>
      <c r="G19" s="15">
        <v>7.22</v>
      </c>
      <c r="H19" s="15">
        <f t="shared" si="7"/>
        <v>3.5777777777777776E-2</v>
      </c>
      <c r="I19" s="15">
        <v>0.32200000000000001</v>
      </c>
      <c r="J19" s="105">
        <f t="shared" si="0"/>
        <v>52.176263855095975</v>
      </c>
      <c r="K19" s="15">
        <f t="shared" si="1"/>
        <v>0</v>
      </c>
      <c r="L19" s="15">
        <f t="shared" si="2"/>
        <v>12.165450121654503</v>
      </c>
      <c r="M19" s="15">
        <f t="shared" si="3"/>
        <v>87.834549878345499</v>
      </c>
      <c r="N19" s="15">
        <f t="shared" si="4"/>
        <v>95.64747228980805</v>
      </c>
      <c r="O19" s="15">
        <f t="shared" si="5"/>
        <v>0.43525277101919446</v>
      </c>
      <c r="P19" s="15">
        <f t="shared" si="6"/>
        <v>3.9172749391727497</v>
      </c>
      <c r="Q19" s="72"/>
    </row>
    <row r="20" spans="1:17">
      <c r="A20" s="81">
        <v>17</v>
      </c>
      <c r="B20" s="15">
        <v>0.08</v>
      </c>
      <c r="C20" s="27">
        <v>0.04</v>
      </c>
      <c r="D20" s="1">
        <v>40</v>
      </c>
      <c r="E20" s="15">
        <v>0</v>
      </c>
      <c r="F20" s="15">
        <v>1</v>
      </c>
      <c r="G20" s="15">
        <v>6.46</v>
      </c>
      <c r="H20" s="15">
        <f t="shared" si="7"/>
        <v>3.6111111111111115E-2</v>
      </c>
      <c r="I20" s="15">
        <v>0.32500000000000001</v>
      </c>
      <c r="J20" s="105">
        <f t="shared" si="0"/>
        <v>52.420315758117368</v>
      </c>
      <c r="K20" s="15">
        <f t="shared" si="1"/>
        <v>0</v>
      </c>
      <c r="L20" s="15">
        <f t="shared" si="2"/>
        <v>13.404825737265416</v>
      </c>
      <c r="M20" s="15">
        <f t="shared" si="3"/>
        <v>86.595174262734588</v>
      </c>
      <c r="N20" s="15">
        <f t="shared" si="4"/>
        <v>95.159368483765263</v>
      </c>
      <c r="O20" s="15">
        <f t="shared" si="5"/>
        <v>0.48406315162347335</v>
      </c>
      <c r="P20" s="15">
        <f t="shared" si="6"/>
        <v>4.3565683646112605</v>
      </c>
      <c r="Q20" s="72"/>
    </row>
    <row r="21" spans="1:17">
      <c r="A21" s="81">
        <v>18</v>
      </c>
      <c r="B21" s="15">
        <v>0.1</v>
      </c>
      <c r="C21" s="27">
        <v>4.3999999999999997E-2</v>
      </c>
      <c r="D21" s="1">
        <v>60</v>
      </c>
      <c r="E21" s="15">
        <v>0</v>
      </c>
      <c r="F21" s="15">
        <v>2.34</v>
      </c>
      <c r="G21" s="15">
        <v>12.89</v>
      </c>
      <c r="H21" s="15">
        <f t="shared" si="7"/>
        <v>0.1111111111111111</v>
      </c>
      <c r="I21" s="15">
        <v>1</v>
      </c>
      <c r="J21" s="105">
        <f t="shared" si="0"/>
        <v>53.647771211789596</v>
      </c>
      <c r="K21" s="15">
        <f t="shared" si="1"/>
        <v>0</v>
      </c>
      <c r="L21" s="15">
        <f t="shared" si="2"/>
        <v>15.364412344057779</v>
      </c>
      <c r="M21" s="15">
        <f t="shared" si="3"/>
        <v>84.635587655942217</v>
      </c>
      <c r="N21" s="15">
        <f t="shared" si="4"/>
        <v>92.704457576420808</v>
      </c>
      <c r="O21" s="15">
        <f t="shared" si="5"/>
        <v>0.72955424235791932</v>
      </c>
      <c r="P21" s="15">
        <f t="shared" si="6"/>
        <v>6.5659881812212735</v>
      </c>
      <c r="Q21" s="72"/>
    </row>
    <row r="22" spans="1:17">
      <c r="A22" s="81">
        <v>19</v>
      </c>
      <c r="B22" s="15">
        <v>0.1</v>
      </c>
      <c r="C22" s="27">
        <v>0.05</v>
      </c>
      <c r="D22" s="1">
        <v>60</v>
      </c>
      <c r="E22" s="15">
        <v>0</v>
      </c>
      <c r="F22" s="15">
        <v>2.0499999999999998</v>
      </c>
      <c r="G22" s="15">
        <v>11</v>
      </c>
      <c r="H22" s="15">
        <f t="shared" si="7"/>
        <v>0.1111111111111111</v>
      </c>
      <c r="I22" s="15">
        <v>1</v>
      </c>
      <c r="J22" s="105">
        <f t="shared" si="0"/>
        <v>54.257130693912302</v>
      </c>
      <c r="K22" s="15">
        <f t="shared" si="1"/>
        <v>0</v>
      </c>
      <c r="L22" s="15">
        <f t="shared" si="2"/>
        <v>15.708812260536394</v>
      </c>
      <c r="M22" s="15">
        <f t="shared" si="3"/>
        <v>84.291187739463595</v>
      </c>
      <c r="N22" s="15">
        <f t="shared" si="4"/>
        <v>91.485738612175396</v>
      </c>
      <c r="O22" s="15">
        <f t="shared" si="5"/>
        <v>0.85142613878246043</v>
      </c>
      <c r="P22" s="15">
        <f t="shared" si="6"/>
        <v>7.6628352490421454</v>
      </c>
      <c r="Q22" s="72"/>
    </row>
    <row r="23" spans="1:17">
      <c r="A23" s="81">
        <v>20</v>
      </c>
      <c r="B23" s="15">
        <v>0.1</v>
      </c>
      <c r="C23" s="27">
        <v>4.5999999999999999E-2</v>
      </c>
      <c r="D23" s="1">
        <v>60</v>
      </c>
      <c r="E23" s="15">
        <v>0</v>
      </c>
      <c r="F23" s="15">
        <v>1.81</v>
      </c>
      <c r="G23" s="15">
        <v>9.35</v>
      </c>
      <c r="H23" s="15">
        <f t="shared" si="7"/>
        <v>0.1111111111111111</v>
      </c>
      <c r="I23" s="15">
        <v>1</v>
      </c>
      <c r="J23" s="105">
        <f t="shared" si="0"/>
        <v>54.978096375945839</v>
      </c>
      <c r="K23" s="15">
        <f t="shared" si="1"/>
        <v>0</v>
      </c>
      <c r="L23" s="15">
        <f t="shared" si="2"/>
        <v>16.218637992831543</v>
      </c>
      <c r="M23" s="15">
        <f t="shared" si="3"/>
        <v>83.781362007168454</v>
      </c>
      <c r="N23" s="15">
        <f t="shared" si="4"/>
        <v>90.043807248108322</v>
      </c>
      <c r="O23" s="15">
        <f t="shared" si="5"/>
        <v>0.99561927518916771</v>
      </c>
      <c r="P23" s="15">
        <f t="shared" si="6"/>
        <v>8.9605734767025087</v>
      </c>
      <c r="Q23" s="72"/>
    </row>
    <row r="24" spans="1:17">
      <c r="A24" s="81">
        <v>21</v>
      </c>
      <c r="B24" s="15">
        <v>0.1</v>
      </c>
      <c r="C24" s="27">
        <v>4.8000000000000001E-2</v>
      </c>
      <c r="D24" s="1">
        <v>60</v>
      </c>
      <c r="E24" s="15">
        <v>0</v>
      </c>
      <c r="F24" s="15">
        <v>1.65</v>
      </c>
      <c r="G24" s="15">
        <v>7.71</v>
      </c>
      <c r="H24" s="15">
        <f t="shared" si="7"/>
        <v>0.1111111111111111</v>
      </c>
      <c r="I24" s="15">
        <v>1</v>
      </c>
      <c r="J24" s="105">
        <f t="shared" si="0"/>
        <v>55.935422602089268</v>
      </c>
      <c r="K24" s="15">
        <f t="shared" si="1"/>
        <v>0</v>
      </c>
      <c r="L24" s="15">
        <f t="shared" si="2"/>
        <v>17.628205128205128</v>
      </c>
      <c r="M24" s="15">
        <f t="shared" si="3"/>
        <v>82.371794871794876</v>
      </c>
      <c r="N24" s="15">
        <f t="shared" si="4"/>
        <v>88.129154795821464</v>
      </c>
      <c r="O24" s="15">
        <f t="shared" si="5"/>
        <v>1.1870845204178537</v>
      </c>
      <c r="P24" s="15">
        <f t="shared" si="6"/>
        <v>10.683760683760685</v>
      </c>
      <c r="Q24" s="72"/>
    </row>
    <row r="25" spans="1:17">
      <c r="A25" s="81">
        <v>22</v>
      </c>
      <c r="B25" s="15">
        <v>0.1</v>
      </c>
      <c r="C25" s="27">
        <v>5.8000000000000003E-2</v>
      </c>
      <c r="D25" s="1">
        <v>60</v>
      </c>
      <c r="E25" s="15">
        <v>0</v>
      </c>
      <c r="F25" s="15">
        <v>1.22</v>
      </c>
      <c r="G25" s="15">
        <v>6.4</v>
      </c>
      <c r="H25" s="15">
        <f t="shared" si="7"/>
        <v>0.1111111111111111</v>
      </c>
      <c r="I25" s="15">
        <v>1</v>
      </c>
      <c r="J25" s="105">
        <f t="shared" si="0"/>
        <v>57.290755322251385</v>
      </c>
      <c r="K25" s="15">
        <f t="shared" si="1"/>
        <v>0</v>
      </c>
      <c r="L25" s="15">
        <f t="shared" si="2"/>
        <v>16.01049868766404</v>
      </c>
      <c r="M25" s="15">
        <f t="shared" si="3"/>
        <v>83.98950131233596</v>
      </c>
      <c r="N25" s="15">
        <f t="shared" si="4"/>
        <v>85.418489355497229</v>
      </c>
      <c r="O25" s="15">
        <f t="shared" si="5"/>
        <v>1.4581510644502769</v>
      </c>
      <c r="P25" s="15">
        <f t="shared" si="6"/>
        <v>13.123359580052494</v>
      </c>
      <c r="Q25" s="72"/>
    </row>
    <row r="26" spans="1:17">
      <c r="A26" s="81">
        <v>23</v>
      </c>
      <c r="B26" s="15">
        <v>0.1</v>
      </c>
      <c r="C26" s="27">
        <v>5.6000000000000001E-2</v>
      </c>
      <c r="D26" s="1">
        <v>60</v>
      </c>
      <c r="E26" s="15">
        <v>0</v>
      </c>
      <c r="F26" s="15">
        <v>1.19</v>
      </c>
      <c r="G26" s="15">
        <v>6.35</v>
      </c>
      <c r="H26" s="15">
        <f t="shared" si="7"/>
        <v>0.1111111111111111</v>
      </c>
      <c r="I26" s="15">
        <v>1</v>
      </c>
      <c r="J26" s="105">
        <f t="shared" si="0"/>
        <v>57.368110816386675</v>
      </c>
      <c r="K26" s="15">
        <f t="shared" si="1"/>
        <v>0</v>
      </c>
      <c r="L26" s="15">
        <f t="shared" si="2"/>
        <v>15.782493368700266</v>
      </c>
      <c r="M26" s="15">
        <f t="shared" si="3"/>
        <v>84.217506631299742</v>
      </c>
      <c r="N26" s="15">
        <f t="shared" si="4"/>
        <v>85.263778367226649</v>
      </c>
      <c r="O26" s="15">
        <f t="shared" si="5"/>
        <v>1.4736221632773356</v>
      </c>
      <c r="P26" s="15">
        <f t="shared" si="6"/>
        <v>13.262599469496022</v>
      </c>
      <c r="Q26" s="72"/>
    </row>
    <row r="27" spans="1:17">
      <c r="A27" s="81">
        <v>24</v>
      </c>
      <c r="B27" s="15">
        <v>0.1</v>
      </c>
      <c r="C27" s="27">
        <v>6.4000000000000001E-2</v>
      </c>
      <c r="D27" s="1">
        <v>60</v>
      </c>
      <c r="E27" s="15">
        <v>0</v>
      </c>
      <c r="F27" s="15">
        <v>1.1100000000000001</v>
      </c>
      <c r="G27" s="15">
        <v>6.21</v>
      </c>
      <c r="H27" s="15">
        <f t="shared" si="7"/>
        <v>0.1111111111111111</v>
      </c>
      <c r="I27" s="15">
        <v>1</v>
      </c>
      <c r="J27" s="105">
        <f t="shared" si="0"/>
        <v>57.589556769884638</v>
      </c>
      <c r="K27" s="15">
        <f t="shared" si="1"/>
        <v>0</v>
      </c>
      <c r="L27" s="15">
        <f t="shared" si="2"/>
        <v>15.163934426229508</v>
      </c>
      <c r="M27" s="15">
        <f t="shared" si="3"/>
        <v>84.836065573770497</v>
      </c>
      <c r="N27" s="15">
        <f t="shared" si="4"/>
        <v>84.820886460230724</v>
      </c>
      <c r="O27" s="15">
        <f t="shared" si="5"/>
        <v>1.5179113539769276</v>
      </c>
      <c r="P27" s="15">
        <f t="shared" si="6"/>
        <v>13.661202185792348</v>
      </c>
      <c r="Q27" s="72"/>
    </row>
    <row r="28" spans="1:17">
      <c r="A28" s="81">
        <v>25</v>
      </c>
      <c r="B28" s="15">
        <v>0.1</v>
      </c>
      <c r="C28" s="27">
        <v>5.1999999999999998E-2</v>
      </c>
      <c r="D28" s="1">
        <v>60</v>
      </c>
      <c r="E28" s="15">
        <v>0</v>
      </c>
      <c r="F28" s="15">
        <v>1.02</v>
      </c>
      <c r="G28" s="15">
        <v>5.64</v>
      </c>
      <c r="H28" s="15">
        <f t="shared" si="7"/>
        <v>0.1111111111111111</v>
      </c>
      <c r="I28" s="15">
        <v>1</v>
      </c>
      <c r="J28" s="105">
        <f t="shared" si="0"/>
        <v>58.341675008341674</v>
      </c>
      <c r="K28" s="15">
        <f t="shared" si="1"/>
        <v>0</v>
      </c>
      <c r="L28" s="15">
        <f t="shared" si="2"/>
        <v>15.315315315315313</v>
      </c>
      <c r="M28" s="15">
        <f t="shared" si="3"/>
        <v>84.684684684684669</v>
      </c>
      <c r="N28" s="15">
        <f t="shared" si="4"/>
        <v>83.316649983316651</v>
      </c>
      <c r="O28" s="15">
        <f t="shared" si="5"/>
        <v>1.6683350016683349</v>
      </c>
      <c r="P28" s="15">
        <f t="shared" si="6"/>
        <v>15.015015015015015</v>
      </c>
      <c r="Q28" s="72"/>
    </row>
    <row r="29" spans="1:17">
      <c r="A29" s="81">
        <v>26</v>
      </c>
      <c r="B29" s="15">
        <v>0.1</v>
      </c>
      <c r="C29" s="27">
        <v>6.2E-2</v>
      </c>
      <c r="D29" s="1">
        <v>60</v>
      </c>
      <c r="E29" s="15">
        <v>0</v>
      </c>
      <c r="F29" s="15">
        <v>1.17</v>
      </c>
      <c r="G29" s="15">
        <v>5.45</v>
      </c>
      <c r="H29" s="15">
        <f t="shared" si="7"/>
        <v>0.1111111111111111</v>
      </c>
      <c r="I29" s="15">
        <v>1</v>
      </c>
      <c r="J29" s="105">
        <f t="shared" si="0"/>
        <v>58.392077878482709</v>
      </c>
      <c r="K29" s="15">
        <f t="shared" si="1"/>
        <v>0</v>
      </c>
      <c r="L29" s="15">
        <f t="shared" si="2"/>
        <v>17.673716012084594</v>
      </c>
      <c r="M29" s="15">
        <f t="shared" si="3"/>
        <v>82.326283987915403</v>
      </c>
      <c r="N29" s="15">
        <f t="shared" si="4"/>
        <v>83.215844243034581</v>
      </c>
      <c r="O29" s="15">
        <f t="shared" si="5"/>
        <v>1.6784155756965422</v>
      </c>
      <c r="P29" s="15">
        <f t="shared" si="6"/>
        <v>15.105740181268882</v>
      </c>
      <c r="Q29" s="72"/>
    </row>
    <row r="30" spans="1:17">
      <c r="A30" s="81">
        <v>27</v>
      </c>
      <c r="B30" s="15">
        <v>0.1</v>
      </c>
      <c r="C30" s="27">
        <v>5.3999999999999999E-2</v>
      </c>
      <c r="D30" s="1">
        <v>60</v>
      </c>
      <c r="E30" s="15">
        <v>0</v>
      </c>
      <c r="F30" s="15">
        <v>1</v>
      </c>
      <c r="G30" s="15">
        <v>5.22</v>
      </c>
      <c r="H30" s="15">
        <f t="shared" si="7"/>
        <v>0.1111111111111111</v>
      </c>
      <c r="I30" s="15">
        <v>1</v>
      </c>
      <c r="J30" s="105">
        <f t="shared" si="0"/>
        <v>58.931761343336909</v>
      </c>
      <c r="K30" s="15">
        <f t="shared" si="1"/>
        <v>0</v>
      </c>
      <c r="L30" s="15">
        <f t="shared" si="2"/>
        <v>16.077170418006432</v>
      </c>
      <c r="M30" s="15">
        <f t="shared" si="3"/>
        <v>83.922829581993568</v>
      </c>
      <c r="N30" s="15">
        <f t="shared" si="4"/>
        <v>82.136477313326182</v>
      </c>
      <c r="O30" s="15">
        <f t="shared" si="5"/>
        <v>1.7863522686673812</v>
      </c>
      <c r="P30" s="15">
        <f t="shared" si="6"/>
        <v>16.077170418006432</v>
      </c>
      <c r="Q30" s="72"/>
    </row>
    <row r="31" spans="1:17">
      <c r="A31" s="81">
        <v>28</v>
      </c>
      <c r="B31" s="15">
        <v>0.1</v>
      </c>
      <c r="C31" s="27">
        <v>0.06</v>
      </c>
      <c r="D31" s="1">
        <v>60</v>
      </c>
      <c r="E31" s="15">
        <v>0</v>
      </c>
      <c r="F31" s="15">
        <v>0.85</v>
      </c>
      <c r="G31" s="15">
        <v>4.49</v>
      </c>
      <c r="H31" s="15">
        <f t="shared" si="7"/>
        <v>0.1111111111111111</v>
      </c>
      <c r="I31" s="15">
        <v>1</v>
      </c>
      <c r="J31" s="105">
        <f t="shared" si="0"/>
        <v>60.403662089055345</v>
      </c>
      <c r="K31" s="15">
        <f t="shared" si="1"/>
        <v>0</v>
      </c>
      <c r="L31" s="15">
        <f t="shared" si="2"/>
        <v>15.917602996254681</v>
      </c>
      <c r="M31" s="15">
        <f t="shared" si="3"/>
        <v>84.082397003745328</v>
      </c>
      <c r="N31" s="15">
        <f t="shared" si="4"/>
        <v>79.19267582188931</v>
      </c>
      <c r="O31" s="15">
        <f t="shared" si="5"/>
        <v>2.0807324178110695</v>
      </c>
      <c r="P31" s="15">
        <f t="shared" si="6"/>
        <v>18.726591760299627</v>
      </c>
      <c r="Q31" s="72"/>
    </row>
    <row r="32" spans="1:17">
      <c r="A32" s="81">
        <v>29</v>
      </c>
      <c r="B32" s="15">
        <v>0.1</v>
      </c>
      <c r="C32" s="27">
        <v>0.06</v>
      </c>
      <c r="D32" s="1">
        <v>60</v>
      </c>
      <c r="E32" s="15">
        <v>0</v>
      </c>
      <c r="F32" s="15">
        <v>0.45</v>
      </c>
      <c r="G32" s="15">
        <v>1.96</v>
      </c>
      <c r="H32" s="15">
        <f t="shared" si="7"/>
        <v>0.1111111111111111</v>
      </c>
      <c r="I32" s="15">
        <v>1</v>
      </c>
      <c r="J32" s="105">
        <f t="shared" si="0"/>
        <v>73.052097740894425</v>
      </c>
      <c r="K32" s="15">
        <f t="shared" si="1"/>
        <v>0</v>
      </c>
      <c r="L32" s="15">
        <f t="shared" si="2"/>
        <v>18.672199170124482</v>
      </c>
      <c r="M32" s="15">
        <f t="shared" si="3"/>
        <v>81.327800829875514</v>
      </c>
      <c r="N32" s="15">
        <f t="shared" si="4"/>
        <v>53.895804518211158</v>
      </c>
      <c r="O32" s="15">
        <f t="shared" si="5"/>
        <v>4.6104195481788839</v>
      </c>
      <c r="P32" s="15">
        <f t="shared" si="6"/>
        <v>41.493775933609953</v>
      </c>
      <c r="Q32" s="72"/>
    </row>
    <row r="33" spans="1:17">
      <c r="A33" s="81">
        <v>30</v>
      </c>
      <c r="B33" s="15">
        <v>0.1</v>
      </c>
      <c r="C33" s="27">
        <v>0.08</v>
      </c>
      <c r="D33" s="1">
        <v>60</v>
      </c>
      <c r="E33" s="15">
        <v>0</v>
      </c>
      <c r="F33" s="15">
        <v>0.3</v>
      </c>
      <c r="G33" s="15">
        <v>0.85</v>
      </c>
      <c r="H33" s="15">
        <f>I33/9</f>
        <v>0.1111111111111111</v>
      </c>
      <c r="I33" s="15">
        <v>1</v>
      </c>
      <c r="J33" s="105">
        <f t="shared" si="0"/>
        <v>98.309178743961354</v>
      </c>
      <c r="K33" s="15">
        <f t="shared" si="1"/>
        <v>0</v>
      </c>
      <c r="L33" s="15">
        <f t="shared" si="2"/>
        <v>26.086956521739129</v>
      </c>
      <c r="M33" s="15">
        <f t="shared" si="3"/>
        <v>73.913043478260875</v>
      </c>
      <c r="N33" s="15">
        <f>100-(SUM(H33:I33)/SUM($E33:$G33)*100)</f>
        <v>3.3816425120772919</v>
      </c>
      <c r="O33" s="15">
        <f t="shared" si="5"/>
        <v>9.6618357487922708</v>
      </c>
      <c r="P33" s="15">
        <f t="shared" si="6"/>
        <v>86.956521739130437</v>
      </c>
      <c r="Q33" s="72"/>
    </row>
    <row r="34" spans="1:17">
      <c r="A34" s="81">
        <v>31</v>
      </c>
      <c r="B34" s="15">
        <v>0.06</v>
      </c>
      <c r="C34" s="27">
        <v>0.6</v>
      </c>
      <c r="D34" s="1">
        <v>1200</v>
      </c>
      <c r="E34" s="15">
        <v>0</v>
      </c>
      <c r="F34" s="15">
        <v>12</v>
      </c>
      <c r="G34" s="15">
        <v>88</v>
      </c>
      <c r="H34" s="15">
        <v>9</v>
      </c>
      <c r="I34" s="15">
        <v>90</v>
      </c>
      <c r="J34" s="105">
        <f t="shared" si="0"/>
        <v>99.5</v>
      </c>
      <c r="K34" s="15">
        <f t="shared" si="1"/>
        <v>0</v>
      </c>
      <c r="L34" s="15">
        <f t="shared" si="2"/>
        <v>12</v>
      </c>
      <c r="M34" s="15">
        <f t="shared" si="3"/>
        <v>88</v>
      </c>
      <c r="N34" s="15">
        <f>100-(SUM(H34:I34)/SUM($E34:$G34)*100)</f>
        <v>1</v>
      </c>
      <c r="O34" s="15">
        <f t="shared" si="5"/>
        <v>9</v>
      </c>
      <c r="P34" s="15">
        <f t="shared" si="6"/>
        <v>90</v>
      </c>
    </row>
  </sheetData>
  <autoFilter ref="B2:P33" xr:uid="{06525611-2311-46F0-88F9-4D7728C460EA}">
    <sortState xmlns:xlrd2="http://schemas.microsoft.com/office/spreadsheetml/2017/richdata2" ref="B3:P34">
      <sortCondition ref="J2:J33"/>
    </sortState>
  </autoFilter>
  <mergeCells count="3">
    <mergeCell ref="B1:C1"/>
    <mergeCell ref="E1:I1"/>
    <mergeCell ref="J1:P1"/>
  </mergeCells>
  <phoneticPr fontId="1"/>
  <pageMargins left="0.7" right="0.7" top="0.75" bottom="0.75" header="0.3" footer="0.3"/>
  <pageSetup paperSize="9"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E2457FB3181E7743865FC1175DA91041" ma:contentTypeVersion="19" ma:contentTypeDescription="新しいドキュメントを作成します。" ma:contentTypeScope="" ma:versionID="9154cefc864ff01ceccf65e514d8b1fd">
  <xsd:schema xmlns:xsd="http://www.w3.org/2001/XMLSchema" xmlns:xs="http://www.w3.org/2001/XMLSchema" xmlns:p="http://schemas.microsoft.com/office/2006/metadata/properties" xmlns:ns2="971979d8-faa4-4822-b524-49443f3c2d69" xmlns:ns3="92616050-ef1e-44f8-a625-b80c30a41f9c" targetNamespace="http://schemas.microsoft.com/office/2006/metadata/properties" ma:root="true" ma:fieldsID="fe6a1609b63fcc9f1fd2e4f65e660f7f" ns2:_="" ns3:_="">
    <xsd:import namespace="971979d8-faa4-4822-b524-49443f3c2d69"/>
    <xsd:import namespace="92616050-ef1e-44f8-a625-b80c30a41f9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1979d8-faa4-4822-b524-49443f3c2d6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3e2b44da-a643-41f9-8ef5-317b5947505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616050-ef1e-44f8-a625-b80c30a41f9c"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TaxCatchAll" ma:index="23" nillable="true" ma:displayName="Taxonomy Catch All Column" ma:hidden="true" ma:list="{86a35584-3a94-4c69-8d0a-7f558bcd8ccf}" ma:internalName="TaxCatchAll" ma:showField="CatchAllData" ma:web="92616050-ef1e-44f8-a625-b80c30a41f9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71979d8-faa4-4822-b524-49443f3c2d69">
      <Terms xmlns="http://schemas.microsoft.com/office/infopath/2007/PartnerControls"/>
    </lcf76f155ced4ddcb4097134ff3c332f>
    <TaxCatchAll xmlns="92616050-ef1e-44f8-a625-b80c30a41f9c" xsi:nil="true"/>
  </documentManagement>
</p:properties>
</file>

<file path=customXml/itemProps1.xml><?xml version="1.0" encoding="utf-8"?>
<ds:datastoreItem xmlns:ds="http://schemas.openxmlformats.org/officeDocument/2006/customXml" ds:itemID="{139DEB54-27E6-44EB-B83A-378EE51ECD20}">
  <ds:schemaRefs>
    <ds:schemaRef ds:uri="http://schemas.microsoft.com/sharepoint/v3/contenttype/forms"/>
  </ds:schemaRefs>
</ds:datastoreItem>
</file>

<file path=customXml/itemProps2.xml><?xml version="1.0" encoding="utf-8"?>
<ds:datastoreItem xmlns:ds="http://schemas.openxmlformats.org/officeDocument/2006/customXml" ds:itemID="{676E8D6A-CF3C-484B-8C34-0536BA9F6FC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1979d8-faa4-4822-b524-49443f3c2d69"/>
    <ds:schemaRef ds:uri="92616050-ef1e-44f8-a625-b80c30a41f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C6BCAE-977D-4157-B23B-4FF1D607D8F6}">
  <ds:schemaRefs>
    <ds:schemaRef ds:uri="http://schemas.microsoft.com/office/infopath/2007/PartnerControls"/>
    <ds:schemaRef ds:uri="http://schemas.microsoft.com/office/2006/documentManagement/types"/>
    <ds:schemaRef ds:uri="http://schemas.microsoft.com/office/2006/metadata/properties"/>
    <ds:schemaRef ds:uri="http://purl.org/dc/elements/1.1/"/>
    <ds:schemaRef ds:uri="971979d8-faa4-4822-b524-49443f3c2d69"/>
    <ds:schemaRef ds:uri="92616050-ef1e-44f8-a625-b80c30a41f9c"/>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6</vt:i4>
      </vt:variant>
      <vt:variant>
        <vt:lpstr>名前付き一覧</vt:lpstr>
      </vt:variant>
      <vt:variant>
        <vt:i4>1</vt:i4>
      </vt:variant>
    </vt:vector>
  </HeadingPairs>
  <TitlesOfParts>
    <vt:vector size="7" baseType="lpstr">
      <vt:lpstr>dataset</vt:lpstr>
      <vt:lpstr>A1 = fluorenone</vt:lpstr>
      <vt:lpstr>A1 = benzophenone</vt:lpstr>
      <vt:lpstr>A1=dibenzosuberone</vt:lpstr>
      <vt:lpstr>others</vt:lpstr>
      <vt:lpstr>diketone_reduction_results</vt:lpstr>
      <vt:lpstr>diketone_reduction_results!_FilterDatabase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Kawasaki Taisei</dc:creator>
  <cp:keywords/>
  <dc:description/>
  <cp:lastModifiedBy>sakaguchi-daimon-nh@ynu.jp</cp:lastModifiedBy>
  <cp:revision/>
  <dcterms:created xsi:type="dcterms:W3CDTF">2024-11-12T06:45:46Z</dcterms:created>
  <dcterms:modified xsi:type="dcterms:W3CDTF">2026-07-13T08:18:07Z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0x010100E2457FB3181E7743865FC1175DA91041</vt:lpwstr>
  </property>
  <property fmtid="{D5CDD505-2E9C-101B-9397-08002B2CF9AE}" pid="3" name="MediaServiceImageTags">
    <vt:lpwstr/>
  </property>
</Properties>
</file>