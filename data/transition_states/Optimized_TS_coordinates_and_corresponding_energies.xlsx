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ynuacjpoffice365.sharepoint.com/sites/ynugr-poclab/Shared Documents/【04】学術論文への投稿/作りかけ/坂口川崎板倉多田伴_競争反応/JACS Auへの投稿/SI/"/>
    </mc:Choice>
  </mc:AlternateContent>
  <xr:revisionPtr revIDLastSave="6798" documentId="8_{DA441E89-0A94-4224-9E26-1F581929217F}" xr6:coauthVersionLast="47" xr6:coauthVersionMax="47" xr10:uidLastSave="{57E02DBF-2B88-4E10-85C7-0510E479B15C}"/>
  <bookViews>
    <workbookView xWindow="-120" yWindow="-120" windowWidth="19440" windowHeight="10320" xr2:uid="{6917F890-AC6D-4F98-A909-A89534E5CE3D}"/>
  </bookViews>
  <sheets>
    <sheet name="TS_calculation" sheetId="4" r:id="rId1"/>
    <sheet name="summery" sheetId="12" r:id="rId2"/>
    <sheet name="EDA" sheetId="1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3" l="1"/>
  <c r="H4" i="13"/>
  <c r="H3" i="13"/>
  <c r="F58" i="4" l="1"/>
  <c r="F108" i="4"/>
  <c r="F17" i="4"/>
  <c r="F18" i="4"/>
  <c r="F82" i="4"/>
  <c r="H51" i="4"/>
  <c r="I51" i="4" s="1"/>
  <c r="F52" i="4"/>
  <c r="F54" i="4"/>
  <c r="E51" i="4"/>
  <c r="F51" i="4" s="1"/>
  <c r="F15" i="4"/>
  <c r="F16" i="4" l="1"/>
  <c r="F14" i="4"/>
  <c r="C8" i="12"/>
  <c r="D8" i="12"/>
  <c r="F19" i="4"/>
  <c r="F13" i="4"/>
  <c r="F105" i="4" l="1"/>
  <c r="F111" i="4" l="1"/>
  <c r="F110" i="4" l="1"/>
  <c r="F109" i="4"/>
  <c r="F85" i="4"/>
  <c r="F84" i="4"/>
  <c r="F79" i="4" l="1"/>
  <c r="F99" i="4"/>
  <c r="F100" i="4"/>
  <c r="H57" i="4" l="1"/>
  <c r="I57" i="4" s="1"/>
  <c r="E57" i="4"/>
  <c r="F57" i="4" s="1"/>
  <c r="H55" i="4"/>
  <c r="I55" i="4" s="1"/>
  <c r="F56" i="4"/>
  <c r="E55" i="4"/>
  <c r="F55" i="4" s="1"/>
  <c r="F112" i="4"/>
  <c r="E53" i="4"/>
  <c r="F53" i="4" s="1"/>
  <c r="F86" i="4"/>
  <c r="F83" i="4"/>
  <c r="H53" i="4"/>
  <c r="I53" i="4" s="1"/>
  <c r="F97" i="4"/>
  <c r="F113" i="4" s="1"/>
  <c r="F95" i="4"/>
  <c r="F73" i="4"/>
  <c r="F59" i="4"/>
  <c r="F71" i="4"/>
  <c r="F87" i="4" s="1"/>
  <c r="F70" i="4"/>
  <c r="F40" i="4"/>
  <c r="F61" i="4" s="1"/>
  <c r="H60" i="4"/>
  <c r="I60" i="4" s="1"/>
  <c r="F48" i="4"/>
  <c r="F42" i="4" l="1"/>
  <c r="F25" i="4"/>
  <c r="F36" i="4"/>
  <c r="F24" i="4"/>
  <c r="H6" i="4"/>
  <c r="I6" i="4" s="1"/>
  <c r="H29" i="4"/>
  <c r="I29" i="4" s="1"/>
  <c r="H11" i="4"/>
  <c r="I11" i="4" s="1"/>
  <c r="E6" i="4"/>
  <c r="C6" i="4"/>
  <c r="F6" i="4" l="1"/>
  <c r="F5" i="4" l="1"/>
  <c r="E11" i="4"/>
  <c r="F11" i="4" s="1"/>
  <c r="F35" i="4"/>
  <c r="F46" i="4"/>
  <c r="F39" i="4"/>
  <c r="F60" i="4"/>
  <c r="H34" i="4"/>
  <c r="I34" i="4" s="1"/>
  <c r="H4" i="4"/>
  <c r="I4" i="4" s="1"/>
  <c r="H8" i="4"/>
  <c r="I8" i="4" s="1"/>
  <c r="F103" i="4"/>
  <c r="F116" i="4" s="1"/>
  <c r="F107" i="4"/>
  <c r="F77" i="4"/>
  <c r="F90" i="4" s="1"/>
  <c r="F81" i="4"/>
  <c r="F106" i="4"/>
  <c r="F80" i="4"/>
  <c r="F69" i="4"/>
  <c r="F94" i="4"/>
  <c r="F93" i="4"/>
  <c r="F50" i="4"/>
  <c r="F68" i="4"/>
  <c r="F67" i="4"/>
  <c r="F66" i="4"/>
  <c r="F38" i="4"/>
  <c r="F101" i="4"/>
  <c r="F114" i="4" s="1"/>
  <c r="F75" i="4"/>
  <c r="F88" i="4" s="1"/>
  <c r="F102" i="4"/>
  <c r="F115" i="4" s="1"/>
  <c r="F49" i="4"/>
  <c r="F37" i="4"/>
  <c r="F76" i="4"/>
  <c r="F89" i="4" s="1"/>
  <c r="F74" i="4"/>
  <c r="F43" i="4"/>
  <c r="F32" i="4"/>
  <c r="F31" i="4"/>
  <c r="F9" i="4"/>
  <c r="E8" i="4"/>
  <c r="F8" i="4" s="1"/>
  <c r="E34" i="4"/>
  <c r="F34" i="4" s="1"/>
  <c r="F45" i="4"/>
  <c r="F63" i="4" s="1"/>
  <c r="F44" i="4"/>
  <c r="F62" i="4" s="1"/>
  <c r="F29" i="4"/>
  <c r="F27" i="4"/>
  <c r="F26" i="4"/>
  <c r="F28" i="4"/>
  <c r="F30" i="4"/>
  <c r="F20" i="4" s="1"/>
  <c r="G17" i="4" l="1"/>
  <c r="H17" i="4" s="1"/>
  <c r="I17" i="4" s="1"/>
  <c r="E3" i="12" s="1"/>
  <c r="G16" i="4"/>
  <c r="H16" i="4" s="1"/>
  <c r="I16" i="4" s="1"/>
  <c r="G18" i="4"/>
  <c r="H18" i="4" s="1"/>
  <c r="I18" i="4" s="1"/>
  <c r="G3" i="12" s="1"/>
  <c r="G15" i="4"/>
  <c r="H15" i="4" s="1"/>
  <c r="I15" i="4" s="1"/>
  <c r="F3" i="12" s="1"/>
  <c r="G14" i="4"/>
  <c r="H14" i="4" s="1"/>
  <c r="I14" i="4" s="1"/>
  <c r="D3" i="12" s="1"/>
  <c r="G13" i="4"/>
  <c r="H13" i="4" s="1"/>
  <c r="I13" i="4" s="1"/>
  <c r="C3" i="12" s="1"/>
  <c r="G12" i="4"/>
  <c r="H12" i="4" s="1"/>
  <c r="I12" i="4" s="1"/>
  <c r="G19" i="4"/>
  <c r="H19" i="4" s="1"/>
  <c r="I19" i="4" s="1"/>
  <c r="F21" i="4"/>
  <c r="F22" i="4"/>
  <c r="F64" i="4"/>
  <c r="F96" i="4"/>
  <c r="E4" i="4" l="1"/>
  <c r="F4" i="4" s="1"/>
  <c r="G20" i="4" l="1"/>
  <c r="H20" i="4" s="1"/>
  <c r="I20" i="4" s="1"/>
  <c r="G21" i="4"/>
  <c r="H21" i="4" s="1"/>
  <c r="I21" i="4" s="1"/>
  <c r="G22" i="4"/>
  <c r="H22" i="4" s="1"/>
  <c r="I22" i="4" s="1"/>
  <c r="G25" i="4"/>
  <c r="G26" i="4" s="1"/>
  <c r="G24" i="4"/>
  <c r="H24" i="4" s="1"/>
  <c r="I24" i="4" s="1"/>
  <c r="G5" i="4"/>
  <c r="G9" i="4"/>
  <c r="H9" i="4" s="1"/>
  <c r="I9" i="4" s="1"/>
  <c r="H25" i="4" l="1"/>
  <c r="I25" i="4" s="1"/>
  <c r="H26" i="4"/>
  <c r="I26" i="4" s="1"/>
  <c r="B3" i="12" s="1"/>
  <c r="H5" i="4"/>
  <c r="I5" i="4" s="1"/>
  <c r="G27" i="4" l="1"/>
  <c r="G28" i="4" s="1"/>
  <c r="G30" i="4" s="1"/>
  <c r="G31" i="4" s="1"/>
  <c r="G32" i="4" s="1"/>
  <c r="G58" i="4" l="1"/>
  <c r="H58" i="4" s="1"/>
  <c r="G52" i="4"/>
  <c r="H52" i="4" s="1"/>
  <c r="G54" i="4"/>
  <c r="G35" i="4"/>
  <c r="G36" i="4" s="1"/>
  <c r="G39" i="4" s="1"/>
  <c r="G40" i="4" s="1"/>
  <c r="G42" i="4"/>
  <c r="H30" i="4"/>
  <c r="I30" i="4" s="1"/>
  <c r="H27" i="4"/>
  <c r="I27" i="4" s="1"/>
  <c r="H28" i="4"/>
  <c r="I28" i="4" s="1"/>
  <c r="H40" i="4" l="1"/>
  <c r="H42" i="4"/>
  <c r="G43" i="4"/>
  <c r="H43" i="4" s="1"/>
  <c r="H36" i="4"/>
  <c r="G37" i="4"/>
  <c r="G38" i="4"/>
  <c r="H38" i="4" s="1"/>
  <c r="H39" i="4"/>
  <c r="H31" i="4"/>
  <c r="I31" i="4" s="1"/>
  <c r="H35" i="4"/>
  <c r="H54" i="4" l="1"/>
  <c r="G63" i="4"/>
  <c r="H63" i="4" s="1"/>
  <c r="G56" i="4"/>
  <c r="H56" i="4" s="1"/>
  <c r="G49" i="4"/>
  <c r="H49" i="4" s="1"/>
  <c r="G64" i="4"/>
  <c r="G62" i="4"/>
  <c r="G61" i="4"/>
  <c r="H61" i="4" s="1"/>
  <c r="G59" i="4"/>
  <c r="H59" i="4" s="1"/>
  <c r="G50" i="4"/>
  <c r="H50" i="4" s="1"/>
  <c r="G48" i="4"/>
  <c r="H48" i="4" s="1"/>
  <c r="G44" i="4"/>
  <c r="H32" i="4"/>
  <c r="H37" i="4"/>
  <c r="I52" i="4" l="1"/>
  <c r="I58" i="4"/>
  <c r="G4" i="12"/>
  <c r="G82" i="4"/>
  <c r="H82" i="4" s="1"/>
  <c r="G86" i="4"/>
  <c r="H86" i="4" s="1"/>
  <c r="I49" i="4"/>
  <c r="C4" i="12" s="1"/>
  <c r="I32" i="4"/>
  <c r="I40" i="4"/>
  <c r="I61" i="4"/>
  <c r="I54" i="4"/>
  <c r="F4" i="12" s="1"/>
  <c r="I37" i="4"/>
  <c r="I39" i="4"/>
  <c r="I35" i="4"/>
  <c r="I43" i="4"/>
  <c r="B4" i="12" s="1"/>
  <c r="I56" i="4"/>
  <c r="E4" i="12" s="1"/>
  <c r="I50" i="4"/>
  <c r="D4" i="12" s="1"/>
  <c r="I36" i="4"/>
  <c r="I48" i="4"/>
  <c r="I42" i="4"/>
  <c r="I59" i="4"/>
  <c r="I63" i="4"/>
  <c r="I38" i="4"/>
  <c r="G85" i="4"/>
  <c r="H85" i="4" s="1"/>
  <c r="G84" i="4"/>
  <c r="H84" i="4" s="1"/>
  <c r="G83" i="4"/>
  <c r="H83" i="4" s="1"/>
  <c r="G81" i="4"/>
  <c r="G80" i="4"/>
  <c r="H80" i="4" s="1"/>
  <c r="G79" i="4"/>
  <c r="H79" i="4" s="1"/>
  <c r="G90" i="4"/>
  <c r="G87" i="4"/>
  <c r="H87" i="4" s="1"/>
  <c r="G88" i="4"/>
  <c r="H88" i="4" s="1"/>
  <c r="G89" i="4"/>
  <c r="H89" i="4" s="1"/>
  <c r="H62" i="4"/>
  <c r="I62" i="4" s="1"/>
  <c r="G66" i="4"/>
  <c r="H64" i="4"/>
  <c r="I64" i="4" s="1"/>
  <c r="H44" i="4"/>
  <c r="I44" i="4" s="1"/>
  <c r="G45" i="4"/>
  <c r="I84" i="4" l="1"/>
  <c r="E5" i="12" s="1"/>
  <c r="I83" i="4"/>
  <c r="F5" i="12" s="1"/>
  <c r="I89" i="4"/>
  <c r="I88" i="4"/>
  <c r="I82" i="4"/>
  <c r="I86" i="4"/>
  <c r="G108" i="4"/>
  <c r="H108" i="4" s="1"/>
  <c r="G109" i="4"/>
  <c r="H109" i="4" s="1"/>
  <c r="I85" i="4"/>
  <c r="G5" i="12" s="1"/>
  <c r="I87" i="4"/>
  <c r="I79" i="4"/>
  <c r="I80" i="4"/>
  <c r="C5" i="12" s="1"/>
  <c r="G112" i="4"/>
  <c r="H112" i="4" s="1"/>
  <c r="G107" i="4"/>
  <c r="G105" i="4"/>
  <c r="H105" i="4" s="1"/>
  <c r="G106" i="4"/>
  <c r="G111" i="4"/>
  <c r="H111" i="4" s="1"/>
  <c r="G110" i="4"/>
  <c r="H110" i="4" s="1"/>
  <c r="G116" i="4"/>
  <c r="H116" i="4" s="1"/>
  <c r="G115" i="4"/>
  <c r="H115" i="4" s="1"/>
  <c r="G114" i="4"/>
  <c r="H114" i="4" s="1"/>
  <c r="G113" i="4"/>
  <c r="H113" i="4" s="1"/>
  <c r="G46" i="4"/>
  <c r="G74" i="4"/>
  <c r="G73" i="4"/>
  <c r="H73" i="4" s="1"/>
  <c r="G67" i="4"/>
  <c r="H66" i="4"/>
  <c r="H90" i="4"/>
  <c r="I90" i="4" s="1"/>
  <c r="H45" i="4"/>
  <c r="I45" i="4" s="1"/>
  <c r="I116" i="4" l="1"/>
  <c r="I115" i="4"/>
  <c r="I112" i="4"/>
  <c r="I113" i="4"/>
  <c r="I105" i="4"/>
  <c r="I114" i="4"/>
  <c r="I108" i="4"/>
  <c r="I111" i="4"/>
  <c r="G6" i="12" s="1"/>
  <c r="G7" i="12" s="1"/>
  <c r="I109" i="4"/>
  <c r="F6" i="12" s="1"/>
  <c r="F7" i="12" s="1"/>
  <c r="I110" i="4"/>
  <c r="E6" i="12" s="1"/>
  <c r="E7" i="12" s="1"/>
  <c r="G69" i="4"/>
  <c r="H69" i="4" s="1"/>
  <c r="G70" i="4"/>
  <c r="G71" i="4" s="1"/>
  <c r="G68" i="4"/>
  <c r="H68" i="4" s="1"/>
  <c r="H67" i="4"/>
  <c r="H74" i="4"/>
  <c r="G75" i="4"/>
  <c r="H46" i="4"/>
  <c r="I46" i="4" s="1"/>
  <c r="H81" i="4"/>
  <c r="I81" i="4" s="1"/>
  <c r="D5" i="12" s="1"/>
  <c r="I68" i="4" l="1"/>
  <c r="I69" i="4"/>
  <c r="I74" i="4"/>
  <c r="B5" i="12" s="1"/>
  <c r="I67" i="4"/>
  <c r="I66" i="4"/>
  <c r="I73" i="4"/>
  <c r="G93" i="4"/>
  <c r="G96" i="4" s="1"/>
  <c r="H96" i="4" s="1"/>
  <c r="H71" i="4"/>
  <c r="I71" i="4" s="1"/>
  <c r="H70" i="4"/>
  <c r="I70" i="4" s="1"/>
  <c r="H75" i="4"/>
  <c r="I75" i="4" s="1"/>
  <c r="G76" i="4"/>
  <c r="G99" i="4" l="1"/>
  <c r="H99" i="4" s="1"/>
  <c r="G100" i="4"/>
  <c r="H100" i="4" s="1"/>
  <c r="G94" i="4"/>
  <c r="H94" i="4" s="1"/>
  <c r="I94" i="4" s="1"/>
  <c r="G77" i="4"/>
  <c r="H76" i="4"/>
  <c r="I76" i="4" s="1"/>
  <c r="G95" i="4"/>
  <c r="H95" i="4" s="1"/>
  <c r="H93" i="4"/>
  <c r="H107" i="4" l="1"/>
  <c r="I107" i="4" s="1"/>
  <c r="D6" i="12" s="1"/>
  <c r="D7" i="12" s="1"/>
  <c r="H106" i="4"/>
  <c r="I106" i="4" s="1"/>
  <c r="C6" i="12" s="1"/>
  <c r="C7" i="12" s="1"/>
  <c r="H77" i="4"/>
  <c r="I77" i="4" s="1"/>
  <c r="G101" i="4"/>
  <c r="I99" i="4" l="1"/>
  <c r="I100" i="4"/>
  <c r="B6" i="12" s="1"/>
  <c r="B7" i="12" s="1"/>
  <c r="H101" i="4"/>
  <c r="I101" i="4" s="1"/>
  <c r="G102" i="4"/>
  <c r="G103" i="4" l="1"/>
  <c r="H103" i="4" s="1"/>
  <c r="I103" i="4" s="1"/>
  <c r="H102" i="4"/>
  <c r="I102" i="4" s="1"/>
</calcChain>
</file>

<file path=xl/sharedStrings.xml><?xml version="1.0" encoding="utf-8"?>
<sst xmlns="http://schemas.openxmlformats.org/spreadsheetml/2006/main" count="241" uniqueCount="241">
  <si>
    <r>
      <t>wB97XD/def2-tzvp SMD(MeOH) (</t>
    </r>
    <r>
      <rPr>
        <b/>
        <i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>=298K)</t>
    </r>
    <phoneticPr fontId="1"/>
  </si>
  <si>
    <t>structure</t>
    <phoneticPr fontId="1"/>
  </si>
  <si>
    <t>G(DFT)
[Hartree]</t>
    <phoneticPr fontId="1"/>
  </si>
  <si>
    <t>conc.[M]</t>
    <phoneticPr fontId="1"/>
  </si>
  <si>
    <t>correction
[Hartree]</t>
    <phoneticPr fontId="1"/>
  </si>
  <si>
    <t>G(corrected)
[Hartree]</t>
    <phoneticPr fontId="1"/>
  </si>
  <si>
    <t>ΔG
[Hartree]</t>
    <phoneticPr fontId="1"/>
  </si>
  <si>
    <t>ΔG (vs BH4)
[kcal/mol]</t>
    <phoneticPr fontId="1"/>
  </si>
  <si>
    <r>
      <t>ΔG (</t>
    </r>
    <r>
      <rPr>
        <b/>
        <sz val="10"/>
        <color theme="1"/>
        <rFont val="游ゴシック"/>
        <family val="2"/>
        <charset val="128"/>
      </rPr>
      <t xml:space="preserve">vs </t>
    </r>
    <r>
      <rPr>
        <b/>
        <sz val="10"/>
        <color theme="1"/>
        <rFont val="Arial"/>
        <family val="2"/>
      </rPr>
      <t>each</t>
    </r>
    <r>
      <rPr>
        <b/>
        <sz val="10"/>
        <color theme="1"/>
        <rFont val="游ゴシック"/>
        <family val="2"/>
        <charset val="128"/>
      </rPr>
      <t xml:space="preserve"> phase</t>
    </r>
    <r>
      <rPr>
        <b/>
        <sz val="10"/>
        <color theme="1"/>
        <rFont val="Arial"/>
        <family val="2"/>
      </rPr>
      <t>) [kcal/mol]</t>
    </r>
    <phoneticPr fontId="1"/>
  </si>
  <si>
    <t>note</t>
    <phoneticPr fontId="1"/>
  </si>
  <si>
    <t>01_methanol autoionization</t>
    <phoneticPr fontId="1"/>
  </si>
  <si>
    <t>MeOH</t>
    <phoneticPr fontId="1"/>
  </si>
  <si>
    <t>0 1
 C                  0.04753500    0.66335800    0.00000000
 H                  1.08808000    0.98858000    0.00000000
 H                 -0.44449700    1.06730400    0.89048600
 H                 -0.44449700    1.06730400   -0.89048600
 O                  0.04753500   -0.75593100    0.00000000
 H                 -0.86457700   -1.05588800    0.00000000</t>
    <phoneticPr fontId="1"/>
  </si>
  <si>
    <r>
      <t>MeOH</t>
    </r>
    <r>
      <rPr>
        <vertAlign val="subscript"/>
        <sz val="10"/>
        <color theme="1"/>
        <rFont val="Arial"/>
        <family val="2"/>
      </rPr>
      <t>2</t>
    </r>
    <r>
      <rPr>
        <vertAlign val="superscript"/>
        <sz val="10"/>
        <color theme="1"/>
        <rFont val="Arial"/>
        <family val="2"/>
      </rPr>
      <t>+</t>
    </r>
    <phoneticPr fontId="1"/>
  </si>
  <si>
    <t>1 1
 C                  0.76675000    0.00000000    0.01778200
 H                  1.03626300   -0.00000700    1.06972200
 H                  1.09850200   -0.89724900   -0.49313200
 H                  1.09849900    0.89725700   -0.49311900
 O                 -0.70204200    0.00000000   -0.09766900
 H                 -1.10871400   -0.78969600    0.29559600
 H                 -1.10871400    0.78969600    0.29559500</t>
    <phoneticPr fontId="1"/>
  </si>
  <si>
    <r>
      <t>MeO</t>
    </r>
    <r>
      <rPr>
        <vertAlign val="superscript"/>
        <sz val="10"/>
        <color theme="1"/>
        <rFont val="Arial"/>
        <family val="2"/>
      </rPr>
      <t>-</t>
    </r>
    <phoneticPr fontId="1"/>
  </si>
  <si>
    <t>-1 1
 C                 -0.00000200   -0.53025900    0.00000000
 H                  1.02400700   -1.03933700    0.00000000
 H                 -0.51199000   -1.03934800    0.88681100
 H                 -0.51199000   -1.03934800   -0.88681100
 O                 -0.00000200    0.78744900    0.00000000</t>
    <phoneticPr fontId="1"/>
  </si>
  <si>
    <t>Calculated by applying the correction.</t>
    <phoneticPr fontId="1"/>
  </si>
  <si>
    <t>02_sodium methanolysis</t>
    <phoneticPr fontId="1"/>
  </si>
  <si>
    <r>
      <t>Na(MeOH)</t>
    </r>
    <r>
      <rPr>
        <vertAlign val="subscript"/>
        <sz val="10"/>
        <color theme="1"/>
        <rFont val="Arial"/>
        <family val="2"/>
      </rPr>
      <t>5</t>
    </r>
    <r>
      <rPr>
        <vertAlign val="superscript"/>
        <sz val="10"/>
        <color theme="1"/>
        <rFont val="Arial"/>
        <family val="2"/>
      </rPr>
      <t>+</t>
    </r>
    <phoneticPr fontId="1"/>
  </si>
  <si>
    <t>1 1
 Na                 0.01638800    0.24379400   -0.54910600
 C                  2.82187100   -1.44006600    0.03296100
 O                  2.11036400   -0.77542700   -1.00276500
 H                  2.12746700   -2.12291800    0.52123000
 H                  3.20441100   -0.73287500    0.77431300
 H                  3.65557700   -2.02010900   -0.37152800
 H                  2.71536800   -0.18688100   -1.46196000
 C                 -1.22443300   -0.38342600    2.29478200
 O                  0.09162000   -0.21645700    1.78075300
 H                 -1.74786100    0.56165700    2.15530700
 H                 -1.20432100   -0.62077800    3.36138300
 H                 -1.76401300   -1.17262400    1.76246100
 H                  0.59617600   -1.01312800    1.96594900
 C                  2.06904800    2.45418800    0.47065600
 O                  1.16834400    2.31627700   -0.62205500
 H                  2.67401700    1.54883600    0.50794000
 H                  1.53475100    2.56212500    1.41826800
 H                  2.73025600    3.31360400    0.33110100
 H                  0.61243400    3.09849200   -0.66184700
 C                 -3.27882500    0.97369700   -0.51604200
 O                 -1.96898100    1.51605300   -0.61736400
 H                 -3.61789300    0.56845300   -1.47338800
 H                 -3.99224600    1.72713500   -0.17187500
 H                 -3.24303700    0.16897700    0.21738100
 H                 -1.99065400    2.25972300   -1.22465800
 C                 -0.55068600   -2.91331600   -0.41143800
 O                 -1.18794800   -1.76665300   -0.96129900
 H                 -0.37027100   -2.79295700    0.66125100
 H                  0.40387600   -3.03018600   -0.92243200
 H                 -1.14926300   -3.81291200   -0.57471000
 H                 -2.08408100   -1.72218500   -0.61769700</t>
    <phoneticPr fontId="1"/>
  </si>
  <si>
    <r>
      <t>Na</t>
    </r>
    <r>
      <rPr>
        <vertAlign val="superscript"/>
        <sz val="10"/>
        <color theme="1" tint="0.499984740745262"/>
        <rFont val="Arial"/>
        <family val="2"/>
      </rPr>
      <t>+</t>
    </r>
    <r>
      <rPr>
        <vertAlign val="subscript"/>
        <sz val="10"/>
        <color theme="1" tint="0.499984740745262"/>
        <rFont val="Arial"/>
        <family val="2"/>
      </rPr>
      <t>vac</t>
    </r>
    <phoneticPr fontId="1"/>
  </si>
  <si>
    <t>1 1
 Na                 0.00000000    0.00000000    0.00000000</t>
    <phoneticPr fontId="1"/>
  </si>
  <si>
    <t xml:space="preserve">good agreement in solvation energy (90.0 kcal/mol) : see https://doi.org/10.1039/D2CP03583A </t>
    <phoneticPr fontId="1"/>
  </si>
  <si>
    <r>
      <t>03_NaBH</t>
    </r>
    <r>
      <rPr>
        <b/>
        <vertAlign val="subscript"/>
        <sz val="10"/>
        <color theme="1"/>
        <rFont val="Arial"/>
        <family val="2"/>
      </rPr>
      <t>4</t>
    </r>
    <r>
      <rPr>
        <b/>
        <sz val="10"/>
        <color theme="1"/>
        <rFont val="Arial"/>
        <family val="2"/>
      </rPr>
      <t xml:space="preserve"> reduction</t>
    </r>
    <phoneticPr fontId="1"/>
  </si>
  <si>
    <r>
      <t>Na(BH</t>
    </r>
    <r>
      <rPr>
        <vertAlign val="subscript"/>
        <sz val="10"/>
        <color theme="1"/>
        <rFont val="Arial"/>
        <family val="2"/>
      </rPr>
      <t>4</t>
    </r>
    <r>
      <rPr>
        <sz val="10"/>
        <color theme="1"/>
        <rFont val="Arial"/>
        <family val="2"/>
      </rPr>
      <t>)(MeOH)</t>
    </r>
    <r>
      <rPr>
        <vertAlign val="subscript"/>
        <sz val="10"/>
        <color theme="1"/>
        <rFont val="Arial"/>
        <family val="2"/>
      </rPr>
      <t>4</t>
    </r>
    <phoneticPr fontId="1"/>
  </si>
  <si>
    <t>0 1
 Na                 0.13504500   -0.15703700   -0.13140600
 C                 -2.66772300    1.55705600   -0.05390900
 O                 -1.76289300    0.97183800   -0.98163500
 H                 -2.08398200    2.18324900    0.61923800
 H                 -3.18630700    0.79531600    0.53467800
 H                 -3.40603000    2.18070700   -0.56524100
 H                 -2.26304500    0.42964400   -1.59702600
 C                 -2.36743500   -2.18297500    0.14738500
 O                 -1.08408000   -2.20391600   -0.46538300
 H                 -3.00525400   -1.53884700   -0.45666500
 H                 -2.31708100   -1.78381900    1.16466100
 H                 -2.80692100   -3.18346600    0.17693800
 H                 -0.53480700   -2.84176000   -0.00107700
 C                  3.27773900   -1.11305700   -0.14163400
 O                  2.01656600   -1.46085000   -0.69734000
 H                  3.74574500   -0.29338000   -0.69385200
 H                  3.95555100   -1.97100000   -0.13293000
 H                  3.10178700   -0.79581600    0.88596700
 H                  2.14488400   -1.74376600   -1.60588200
 C                  0.79293600    2.97650200    0.05619300
 O                  1.46790200    1.82014300   -0.42489600
 H                  0.40883400    2.82061100    1.06864800
 H                 -0.04173000    3.16797400   -0.61660900
 H                  1.45369300    3.84745600    0.05483600
 H                  2.24228700    1.67452000    0.12574100
 B                  0.19983400   -0.18486400    2.55935700
 H                  1.19467900    0.41442400    2.15946200
 H                  0.16112500   -0.17135200    3.78143400
 H                  0.24235400   -1.34288100    2.14885900
 H                 -0.80351300    0.36102300    2.10331200</t>
    <phoneticPr fontId="1"/>
  </si>
  <si>
    <r>
      <t>Na(BH</t>
    </r>
    <r>
      <rPr>
        <vertAlign val="subscript"/>
        <sz val="10"/>
        <color theme="1" tint="0.499984740745262"/>
        <rFont val="Arial"/>
        <family val="2"/>
      </rPr>
      <t>4</t>
    </r>
    <r>
      <rPr>
        <sz val="10"/>
        <color theme="1" tint="0.499984740745262"/>
        <rFont val="Arial"/>
        <family val="2"/>
      </rPr>
      <t>)(</t>
    </r>
    <r>
      <rPr>
        <i/>
        <sz val="10"/>
        <color theme="1" tint="0.499984740745262"/>
        <rFont val="Arial"/>
        <family val="2"/>
      </rPr>
      <t>eq</t>
    </r>
    <r>
      <rPr>
        <sz val="10"/>
        <color theme="1" tint="0.499984740745262"/>
        <rFont val="Arial"/>
        <family val="2"/>
      </rPr>
      <t>-CyO)(MeOH)</t>
    </r>
    <r>
      <rPr>
        <vertAlign val="subscript"/>
        <sz val="10"/>
        <color theme="1" tint="0.499984740745262"/>
        <rFont val="Arial"/>
        <family val="2"/>
      </rPr>
      <t>4</t>
    </r>
    <phoneticPr fontId="1"/>
  </si>
  <si>
    <t>0 1
 O                  1.36496900    0.28595700   -1.54768500
 Na                -1.59489400   -0.06955400    0.54836300
 H                 -0.60201000    0.08918300    2.80526800
 B                  0.24163900   -0.69820100    2.37401700
 H                  0.77602700   -0.20602600    1.38627800
 H                 -0.31566800   -1.74319100    2.04589800
 H                  1.08260800   -0.91713400    3.23424100
 O                 -0.93514200   -1.26289300   -1.40405100
 O                 -3.68122300    0.89796700   -0.28550700
 C                 -1.70625300   -0.83795400   -2.51820100
 C                 -3.91842700    2.19559100    0.24755000
 H                 -3.76256900    2.13723100    1.32463800
 H                 -3.22767800    2.92960600   -0.17449000
 H                 -4.94593300    2.51750500    0.05882700
 H                 -1.70297400    0.25222400   -2.61631700
 H                 -1.33426800   -1.27659800   -3.44868500
 H                 -2.73111600   -1.17513300   -2.36118800
 H                 -0.03128300   -0.92476000   -1.52258600
 H                 -3.76927100    0.93220400   -1.24132700
 O                 -0.54491000    1.90975900   -0.31299200
 C                 -0.05092600    2.81836300    0.65785600
 H                  0.65264700    2.33362200    1.34097900
 H                  0.44004700    3.67538400    0.18715800
 H                 -0.90197000    3.18055200    1.23539400
 H                  0.20624100    1.53290800   -0.80034000
 O                 -3.43329700   -1.45182700    1.27375200
 H                 -4.03379500   -0.91353200    0.74342800
 C                 -3.41779400   -2.77706400    0.76302500
 H                 -4.38753300   -3.26500600    0.89699300
 H                 -3.15282900   -2.79644200   -0.29814600
 H                 -2.66515100   -3.33245000    1.32198800
 C                  2.44068200    0.08247200   -0.99968200
 C                  3.03811500   -1.28949400   -0.93859700
 C                  3.24121000    1.20602100   -0.41612300
 C                  3.67369600   -1.60050700    0.42024600
 H                  3.81819700   -1.30277000   -1.71046000
 H                  2.28099700   -2.02245300   -1.21781600
 C                  3.86745100    0.84922200    0.93518600
 H                  4.04225400    1.39975000   -1.14080000
 H                  2.61956000    2.09997300   -0.36216000
 C                  4.60491200   -0.48288100    0.87406800
 H                  4.21165500   -2.54723000    0.34877000
 H                  2.88152900   -1.73518300    1.16166400
 H                  4.54265900    1.65274400    1.23397200
 H                  3.07893300    0.79240500    1.69061500
 H                  5.01842600   -0.72237300    1.85597100
 H                  5.44874000   -0.40322700    0.18005100</t>
    <phoneticPr fontId="1"/>
  </si>
  <si>
    <r>
      <t>[Na(BH</t>
    </r>
    <r>
      <rPr>
        <vertAlign val="subscript"/>
        <sz val="10"/>
        <color theme="1" tint="0.499984740745262"/>
        <rFont val="Arial"/>
        <family val="2"/>
      </rPr>
      <t>4</t>
    </r>
    <r>
      <rPr>
        <sz val="10"/>
        <color theme="1" tint="0.499984740745262"/>
        <rFont val="Arial"/>
        <family val="2"/>
      </rPr>
      <t>)(</t>
    </r>
    <r>
      <rPr>
        <i/>
        <sz val="10"/>
        <color theme="1" tint="0.499984740745262"/>
        <rFont val="Arial"/>
        <family val="2"/>
      </rPr>
      <t>eq</t>
    </r>
    <r>
      <rPr>
        <sz val="10"/>
        <color theme="1" tint="0.499984740745262"/>
        <rFont val="Arial"/>
        <family val="2"/>
      </rPr>
      <t>-CyO)(MeOH)</t>
    </r>
    <r>
      <rPr>
        <vertAlign val="subscript"/>
        <sz val="10"/>
        <color theme="1" tint="0.499984740745262"/>
        <rFont val="Arial"/>
        <family val="2"/>
      </rPr>
      <t>4</t>
    </r>
    <r>
      <rPr>
        <sz val="10"/>
        <color theme="1" tint="0.499984740745262"/>
        <rFont val="Arial"/>
        <family val="2"/>
      </rPr>
      <t>]</t>
    </r>
    <r>
      <rPr>
        <vertAlign val="superscript"/>
        <sz val="10"/>
        <color theme="1" tint="0.499984740745262"/>
        <rFont val="游ゴシック"/>
        <family val="3"/>
        <charset val="128"/>
      </rPr>
      <t>‡</t>
    </r>
    <phoneticPr fontId="1"/>
  </si>
  <si>
    <t>0 1
 O                  1.19556800   -1.49535900    0.17527700
 Na                -1.92796500   -0.61279900    0.42788300
 H                 -0.54376600    1.05001500   -0.94691600
 B                 -0.02872200    1.56768700    0.00451100
 H                  1.20821900    0.56462400   -0.04552900
 H                 -0.31870700    1.21247500    1.11305700
 H                  0.60889300    2.56714500   -0.14087700
 O                 -0.52460800   -1.44681800    2.08445700
 O                 -3.61135200    0.65549300   -0.54588200
 C                 -0.72312600   -2.77877400    2.51826000
 C                 -3.66709400    0.51851600   -1.96702400
 H                 -2.64189400    0.55381900   -2.33276000
 H                 -4.11796900   -0.43542300   -2.24803000
 H                 -4.23409100    1.33796400   -2.41274200
 H                 -0.91338200   -3.45506700    1.67677100
 H                  0.14577900   -3.15267800    3.07040900
 H                 -1.58846900   -2.80361800    3.18290600
 H                  0.23596600   -1.44845700    1.41681300
 H                 -4.50579600    0.66990900   -0.19441800
 O                 -0.88265100   -1.73688900   -1.31194800
 C                 -1.13130900   -3.09841900   -1.59559400
 H                 -0.40301800   -3.49809000   -2.30979100
 H                 -1.09862700   -3.71448600   -0.68969400
 H                 -2.12635100   -3.18677600   -2.03581100
 H                  0.00037700   -1.66579800   -0.82161600
 O                 -2.14630200    2.96768500    0.13383600
 H                 -2.73964600    2.25460400   -0.15461600
 C                 -2.41095900    3.23690900    1.49958200
 H                 -3.39618400    3.69567500    1.63197800
 H                 -2.35982300    2.32880800    2.10921200
 H                 -1.65091500    3.93339000    1.85463200
 C                  1.90710300   -0.35851600   -0.03583000
 C                  2.89272100   -0.04042300    1.08597100
 C                  2.57511400   -0.30627900   -1.40784800
 C                  3.65972500    1.25650700    0.84531100
 H                  3.59242800   -0.88229800    1.14886000
 H                  2.34727200   -0.00171200    2.03301000
 C                  3.34142000    0.99236800   -1.63989000
 H                  3.26052600   -1.16018600   -1.46573300
 H                  1.81125000   -0.45189500   -2.17671200
 C                  4.34361600    1.25544600   -0.51921300
 H                  4.39567800    1.40614800    1.63926400
 H                  2.96431000    2.10123100    0.89731400
 H                  3.85178700    0.95576300   -2.60558300
 H                  2.63179600    1.82541000   -1.69004100
 H                  4.85243300    2.20847300   -0.68547400
 H                  5.11462900    0.47647400   -0.53540900</t>
    <phoneticPr fontId="1"/>
  </si>
  <si>
    <t>NBO charge (H:-0.094, C:0.225)</t>
    <phoneticPr fontId="1"/>
  </si>
  <si>
    <r>
      <t>[Na(BH</t>
    </r>
    <r>
      <rPr>
        <vertAlign val="subscript"/>
        <sz val="10"/>
        <color theme="1" tint="0.499984740745262"/>
        <rFont val="Arial"/>
        <family val="2"/>
      </rPr>
      <t>4</t>
    </r>
    <r>
      <rPr>
        <sz val="10"/>
        <color theme="1" tint="0.499984740745262"/>
        <rFont val="Arial"/>
        <family val="2"/>
      </rPr>
      <t>)(</t>
    </r>
    <r>
      <rPr>
        <i/>
        <sz val="10"/>
        <color theme="1" tint="0.499984740745262"/>
        <rFont val="Arial"/>
        <family val="2"/>
      </rPr>
      <t>ax</t>
    </r>
    <r>
      <rPr>
        <sz val="10"/>
        <color theme="1" tint="0.499984740745262"/>
        <rFont val="Arial"/>
        <family val="2"/>
      </rPr>
      <t>-CyO)(MeOH)</t>
    </r>
    <r>
      <rPr>
        <vertAlign val="subscript"/>
        <sz val="10"/>
        <color theme="1" tint="0.499984740745262"/>
        <rFont val="Arial"/>
        <family val="2"/>
      </rPr>
      <t>4</t>
    </r>
    <r>
      <rPr>
        <sz val="10"/>
        <color theme="1" tint="0.499984740745262"/>
        <rFont val="Arial"/>
        <family val="2"/>
      </rPr>
      <t>]</t>
    </r>
    <r>
      <rPr>
        <vertAlign val="superscript"/>
        <sz val="10"/>
        <color theme="1" tint="0.499984740745262"/>
        <rFont val="游ゴシック"/>
        <family val="3"/>
        <charset val="128"/>
      </rPr>
      <t>‡</t>
    </r>
    <phoneticPr fontId="1"/>
  </si>
  <si>
    <t>0 1
 O                  1.43670000   -0.72490000    0.16150000
 Na                -1.79590000   -0.78440000    0.58330000
 H                 -1.12410000    0.92130000   -1.20940000
 B                 -0.72930000    1.73550000   -0.42260000
 H                  0.73540000    1.11540000   -0.45900000
 H                 -0.84400000    1.53870000    0.75510000
 H                 -0.39820000    2.81860000   -0.80540000
 O                 -0.12570000   -0.82900000    2.19080000
 O                 -3.81860000   -0.27970000   -0.43920000
 C                  0.16090000   -1.99310000    2.94020000
 C                 -3.87790000   -0.70890000   -1.80100000
 H                 -2.92820000   -0.44300000   -2.26270000
 H                 -4.01900000   -1.79000000   -1.86190000
 H                 -4.68730000   -0.20300000   -2.33080000
 H                  0.20640000   -2.88410000    2.30340000
 H                  1.11430000   -1.90090000    3.47180000
 H                 -0.63020000   -2.13740000    3.67830000
 H                  0.57100000   -0.74530000    1.45840000
 H                 -4.66200000   -0.45930000   -0.01430000
 O                 -0.52420000   -1.84780000   -1.05800000
 C                 -0.38390000   -3.25230000   -0.97440000
 H                  0.43560000   -3.61130000   -1.60640000
 H                 -0.19420000   -3.58070000    0.05420000
 H                 -1.31030000   -3.71550000   -1.31880000
 H                  0.31100000   -1.42260000   -0.67570000
 O                 -3.15350000    2.46510000   -0.31870000
 H                 -3.48420000    1.55820000   -0.42770000
 C                 -3.44960000    2.88170000    1.00300000
 H                 -4.52750000    3.00350000    1.15050000
 H                 -3.06920000    2.17270000    1.74550000
 H                 -2.96390000    3.84430000    1.16490000
 C                  1.71240000    0.53320000   -0.27820000
 C                  2.40590000    0.55750000   -1.64220000
 C                  2.48420000    1.37520000    0.73900000
 C                  3.84820000    0.06750000   -1.52410000
 H                  2.39720000    1.58120000   -2.03140000
 H                  1.83750000   -0.06430000   -2.33900000
 C                  3.92660000    0.88710000    0.86230000
 H                  2.47780000    2.42190000    0.41680000
 H                  1.97140000    1.32540000    1.70310000
 C                  4.62620000    0.88540000   -0.49540000
 H                  4.33920000    0.11920000   -2.49920000
 H                  3.84860000   -0.98580000   -1.22550000
 H                  4.47290000    1.51680000    1.56920000
 H                  3.93130000   -0.12740000    1.27400000
 H                  5.64280000    0.49600000   -0.39510000
 H                  4.71610000    1.91800000   -0.85300000</t>
    <phoneticPr fontId="1"/>
  </si>
  <si>
    <r>
      <t>[Na(BH</t>
    </r>
    <r>
      <rPr>
        <vertAlign val="subscript"/>
        <sz val="10"/>
        <color theme="1" tint="0.499984740745262"/>
        <rFont val="Arial"/>
        <family val="2"/>
      </rPr>
      <t>4</t>
    </r>
    <r>
      <rPr>
        <sz val="10"/>
        <color theme="1" tint="0.499984740745262"/>
        <rFont val="Arial"/>
        <family val="2"/>
      </rPr>
      <t>)(Ph</t>
    </r>
    <r>
      <rPr>
        <vertAlign val="subscript"/>
        <sz val="10"/>
        <color theme="1" tint="0.499984740745262"/>
        <rFont val="Arial"/>
        <family val="2"/>
      </rPr>
      <t>2</t>
    </r>
    <r>
      <rPr>
        <sz val="10"/>
        <color theme="1" tint="0.499984740745262"/>
        <rFont val="Arial"/>
        <family val="2"/>
      </rPr>
      <t>CO)(MeOH)</t>
    </r>
    <r>
      <rPr>
        <vertAlign val="subscript"/>
        <sz val="10"/>
        <color theme="1" tint="0.499984740745262"/>
        <rFont val="Arial"/>
        <family val="2"/>
      </rPr>
      <t>4</t>
    </r>
    <r>
      <rPr>
        <sz val="10"/>
        <color theme="1" tint="0.499984740745262"/>
        <rFont val="Arial"/>
        <family val="2"/>
      </rPr>
      <t>]</t>
    </r>
    <r>
      <rPr>
        <vertAlign val="superscript"/>
        <sz val="10"/>
        <color theme="1" tint="0.499984740745262"/>
        <rFont val="游ゴシック"/>
        <family val="3"/>
        <charset val="128"/>
      </rPr>
      <t>‡</t>
    </r>
    <phoneticPr fontId="1"/>
  </si>
  <si>
    <t>0 1
 O                  0.56453500   -0.24878300    1.29965100
 Na                -2.70352300    0.02036700    0.81456500
 H                 -1.49015000   -0.54719700   -1.33764000
 B                 -0.89282700    0.48662800   -1.46423700
 H                  0.34612900    0.00555200   -0.74897300
 H                 -1.13294800    1.39536100   -0.71897600
 H                 -0.37168100    0.72474800   -2.51476000
 O                 -1.30902600    1.38192700    2.07774200
 O                 -4.42893800   -0.50269000   -0.62927000
 C                 -1.34672700    1.31109800    3.49125500
 C                 -4.39822900   -1.85198600   -1.09906500
 H                 -3.35907700   -2.09083100   -1.32104900
 H                 -4.77132500   -2.53758200   -0.33556500
 H                 -4.99144100   -1.95792200   -2.00933500
 H                 -1.33331200    0.27359400    3.84292300
 H                 -0.49927400    1.83997800    3.93981400
 H                 -2.26794400    1.78269100    3.83653500
 H                 -0.51027000    0.86328100    1.76937200
 H                 -5.33935000   -0.25055200   -0.45097700
 O                 -1.44606000   -1.90489400    1.16531200
 C                 -1.57169300   -2.67429900    2.34610700
 H                 -0.76729100   -3.41263500    2.42744500
 H                 -1.55758500   -2.04529800    3.24301500
 H                 -2.52421300   -3.20525000    2.31030000
 H                 -0.59746000   -1.37921900    1.21669100
 O                 -3.42387600    1.31664600   -2.56835900
 H                 -3.80109400    0.63860600   -1.98540700
 C                 -3.68028600    2.58192700   -1.98592900
 H                 -4.75476800    2.77573400   -1.90079000
 H                 -3.22572000    2.67599300   -0.99354100
 H                 -3.24113100    3.34112000   -2.63381100
 C                  1.14960500   -0.05715900    0.11419700
 C                  1.90753600    1.25595900   -0.03547100
 C                  2.46379600    1.61120700   -1.26210300
 C                  2.04957100    2.11623600    1.04292900
 C                  3.14767700    2.80621900   -1.40691300
 H                  2.35628100    0.94541100   -2.11150700
 C                  2.73851800    3.31542900    0.90154200
 H                  1.62141400    1.84583500    1.99954600
 C                  3.28749900    3.66453900   -0.32193200
 H                  3.57285600    3.07145200   -2.36755900
 H                  2.84391100    3.97765500    1.75277500
 H                  3.82252100    4.59992700   -0.43342700
 C                  1.96596100   -1.26710000   -0.33101500
 C                  1.44694700   -2.20864200   -1.20896300
 C                  3.22768400   -1.47709800    0.21924000
 C                  2.17620200   -3.34456100   -1.53766100
 H                  0.46374600   -2.05609600   -1.63942700
 C                  3.95625600   -2.61019600   -0.10545000
 H                  3.64264200   -0.74702100    0.90530900
 C                  3.43218200   -3.54794900   -0.98708100
 H                  1.76030500   -4.07010200   -2.22657400
 H                  4.93787400   -2.76169700    0.32759600
 H                  4.00316200   -4.43208500   -1.24377200</t>
    <phoneticPr fontId="1"/>
  </si>
  <si>
    <r>
      <t>[Na(BH</t>
    </r>
    <r>
      <rPr>
        <vertAlign val="subscript"/>
        <sz val="10"/>
        <color theme="1" tint="0.499984740745262"/>
        <rFont val="Arial"/>
        <family val="2"/>
      </rPr>
      <t>4</t>
    </r>
    <r>
      <rPr>
        <sz val="10"/>
        <color theme="1" tint="0.499984740745262"/>
        <rFont val="Arial"/>
        <family val="2"/>
      </rPr>
      <t>)(PhMeCO)(MeOH)</t>
    </r>
    <r>
      <rPr>
        <vertAlign val="subscript"/>
        <sz val="10"/>
        <color theme="1" tint="0.499984740745262"/>
        <rFont val="Arial"/>
        <family val="2"/>
      </rPr>
      <t>4</t>
    </r>
    <r>
      <rPr>
        <sz val="10"/>
        <color theme="1" tint="0.499984740745262"/>
        <rFont val="Arial"/>
        <family val="2"/>
      </rPr>
      <t>]</t>
    </r>
    <r>
      <rPr>
        <vertAlign val="superscript"/>
        <sz val="10"/>
        <color theme="1" tint="0.499984740745262"/>
        <rFont val="游ゴシック"/>
        <family val="3"/>
        <charset val="128"/>
      </rPr>
      <t>‡</t>
    </r>
    <phoneticPr fontId="1"/>
  </si>
  <si>
    <t>0 1
 O                 -0.75351400   -1.52413700    0.52521200
 Na                 2.04254000   -0.43341500   -0.78157900
 H                  1.37753600    0.78313300    1.37906900
 B                  0.52676700    1.45467400    0.86377500
 H                 -0.59422100    0.43877600    1.16003200
 H                  0.36294200    1.40168400   -0.32392000
 H                  0.04286700    2.36137300    1.47510200
 O                  0.07758200   -1.00875800   -1.86475900
 O                  4.02210300    0.69728500   -0.39399000
 C                 -0.07176400   -2.16286600   -2.66831000
 C                  4.72294100    0.26279900    0.77305300
 H                  3.98229200    0.13004800    1.56049000
 H                  5.23046300   -0.68663100    0.59068300
 H                  5.45001900    1.01300200    1.08952800
 H                  0.26097200   -3.06561600   -2.14428100
 H                 -1.11421900   -2.30461400   -2.97364100
 H                  0.53459100   -2.04247600   -3.56768000
 H                 -0.35821100   -1.19030600   -0.97483400
 H                  4.65387800    0.86412200   -1.09882600
 O                  1.76105600   -1.96053800    0.96147600
 C                  2.04149300   -3.32342300    0.70598400
 H                  1.63143500   -3.96964900    1.48922000
 H                  1.63272500   -3.64707200   -0.25801300
 H                  3.12459700   -3.45503500    0.68392500
 H                  0.76628400   -1.82977800    0.91521300
 O                  2.54928200    3.04059500    0.19730300
 H                  3.14319500    2.28898000    0.03942800
 C                  2.21392200    3.60091800   -1.05983700
 H                  3.07903300    4.08387900   -1.52638500
 H                  1.81826000    2.84664700   -1.74799700
 H                  1.44230400    4.35336600   -0.89430700
 C                 -1.30858900   -0.48438700    1.17021600
 C                 -1.49690100   -0.73565000    2.66412700
 H                 -2.21670100   -1.54682800    2.80154900
 H                 -0.54328900   -1.03533000    3.10336900
 H                 -1.86196800    0.14953400    3.18742500
 C                 -2.56553000    0.07129200    0.51182500
 C                 -3.08393300    1.30528400    0.89867900
 C                 -3.21874100   -0.64611800   -0.48174200
 C                 -4.23221100    1.80836700    0.30900800
 H                 -2.57604100    1.88298500    1.66313300
 C                 -4.37272900   -0.14607100   -1.07317800
 H                 -2.81985000   -1.60274800   -0.79476800
 C                 -4.88326100    1.08152800   -0.68067500
 H                 -4.61909100    2.77207500    0.61856100
 H                 -4.87138600   -0.71888700   -1.84630500
 H                 -5.78045400    1.47395400   -1.14410700</t>
    <phoneticPr fontId="1"/>
  </si>
  <si>
    <r>
      <t>[Na(BH</t>
    </r>
    <r>
      <rPr>
        <vertAlign val="subscript"/>
        <sz val="10"/>
        <color theme="1" tint="0.499984740745262"/>
        <rFont val="Arial"/>
        <family val="2"/>
      </rPr>
      <t>4</t>
    </r>
    <r>
      <rPr>
        <sz val="10"/>
        <color theme="1" tint="0.499984740745262"/>
        <rFont val="Arial"/>
        <family val="2"/>
      </rPr>
      <t>)(4-NO</t>
    </r>
    <r>
      <rPr>
        <vertAlign val="subscript"/>
        <sz val="10"/>
        <color theme="1" tint="0.499984740745262"/>
        <rFont val="Arial"/>
        <family val="2"/>
      </rPr>
      <t>2</t>
    </r>
    <r>
      <rPr>
        <sz val="10"/>
        <color theme="1" tint="0.499984740745262"/>
        <rFont val="Arial"/>
        <family val="2"/>
      </rPr>
      <t>PhMeCO)(MeOH)</t>
    </r>
    <r>
      <rPr>
        <vertAlign val="subscript"/>
        <sz val="10"/>
        <color theme="1" tint="0.499984740745262"/>
        <rFont val="Arial"/>
        <family val="2"/>
      </rPr>
      <t>4</t>
    </r>
    <r>
      <rPr>
        <sz val="10"/>
        <color theme="1" tint="0.499984740745262"/>
        <rFont val="Arial"/>
        <family val="2"/>
      </rPr>
      <t>]</t>
    </r>
    <r>
      <rPr>
        <vertAlign val="superscript"/>
        <sz val="10"/>
        <color theme="1" tint="0.499984740745262"/>
        <rFont val="游ゴシック"/>
        <family val="3"/>
        <charset val="128"/>
      </rPr>
      <t>‡</t>
    </r>
    <phoneticPr fontId="1"/>
  </si>
  <si>
    <t>0 1
 O                  0.32369400   -1.69812600    0.71054800
 Na                 2.80220500   -0.25146100   -0.95982000
 H                  2.24458300    0.82220600    1.29509900
 B                  1.27966200    1.41975200    0.90434700
 H                  0.30331100    0.30878400    1.21960000
 H                  1.02291400    1.42550500   -0.26886700
 H                  0.78823400    2.25426200    1.60641300
 O                  0.79620700   -1.05579000   -1.75589600
 O                  4.71511600    0.99455500   -0.57068700
 C                  0.53242300   -2.11725800   -2.65129900
 C                  5.45956200    0.58149600    0.57714900
 H                  4.74458000    0.42400000    1.38313300
 H                  5.99259000   -0.35086000    0.38000100
 H                  6.17003900    1.35494000    0.87497400
 H                  0.91458900   -3.07046700   -2.27084200
 H                 -0.54169000   -2.22359300   -2.83826000
 H                  1.02537400   -1.90202700   -3.60073200
 H                  0.49972100   -1.32981700   -0.83696500
 H                  5.32570200    1.19956700   -1.28413300
 O                  2.92114800   -1.87089000    0.74041000
 C                  3.23931200   -3.15726100    0.24001700
 H                  3.01045500   -3.93884100    0.97170700
 H                  2.69248900   -3.37812800   -0.68394300
 H                  4.30887700   -3.18816400    0.02638900
 H                  1.93031000   -1.83004000    0.86842900
 O                  3.17322100    3.28092200    0.09271000
 H                  3.77369500    2.53961800   -0.08649800
 C                  2.72398500    3.78337800   -1.15288400
 H                  3.54441600    4.22806100   -1.72618600
 H                  2.25280300    3.00303900   -1.76011400
 H                  1.98168200    4.55660600   -0.95248100
 C                 -0.26560000   -0.70596300    1.38314400
 C                 -0.22395500   -0.87687700    2.89856100
 H                 -0.80998000   -1.75751400    3.17291500
 H                  0.80990700   -1.03178200    3.21170700
 H                 -0.62492400   -0.00884600    3.42367400
 C                 -1.65825100   -0.34462900    0.87996900
 C                 -2.27836800    0.83596400    1.28495400
 C                 -2.32522600   -1.19828800    0.01009900
 C                 -3.54308700    1.16102200    0.83927500
 H                 -1.76044200    1.51630200    1.94989300
 C                 -3.59520000   -0.89267700   -0.44640400
 H                 -1.84358700   -2.11116900   -0.31273400
 C                 -4.18592200    0.28476100   -0.02270800
 H                 -4.02243600    2.07782200    1.15023600
 H                 -4.11528600   -1.55712600   -1.12123300
 N                 -5.52343400    0.61710800   -0.50002800
 O                 -6.03227600    1.65559800   -0.12258400
 O                 -6.07892000   -0.15711800   -1.25624600</t>
    <phoneticPr fontId="1"/>
  </si>
  <si>
    <r>
      <t>[Na(BH</t>
    </r>
    <r>
      <rPr>
        <vertAlign val="subscript"/>
        <sz val="10"/>
        <color theme="1" tint="0.499984740745262"/>
        <rFont val="Arial"/>
        <family val="2"/>
      </rPr>
      <t>4</t>
    </r>
    <r>
      <rPr>
        <sz val="10"/>
        <color theme="1" tint="0.499984740745262"/>
        <rFont val="Arial"/>
        <family val="2"/>
      </rPr>
      <t>)(4-MeOPhMeCO)(MeOH)</t>
    </r>
    <r>
      <rPr>
        <vertAlign val="subscript"/>
        <sz val="10"/>
        <color theme="1" tint="0.499984740745262"/>
        <rFont val="Arial"/>
        <family val="2"/>
      </rPr>
      <t>4</t>
    </r>
    <r>
      <rPr>
        <sz val="10"/>
        <color theme="1" tint="0.499984740745262"/>
        <rFont val="Arial"/>
        <family val="2"/>
      </rPr>
      <t>]</t>
    </r>
    <r>
      <rPr>
        <vertAlign val="superscript"/>
        <sz val="10"/>
        <color theme="1" tint="0.499984740745262"/>
        <rFont val="游ゴシック"/>
        <family val="3"/>
        <charset val="128"/>
      </rPr>
      <t>‡</t>
    </r>
    <phoneticPr fontId="1"/>
  </si>
  <si>
    <t>0 1
 O                  0.06699000   -1.62952100    0.72123600
 Na                 2.58668600   -0.32930200   -0.97118700
 H                  2.12833500    0.80155700    1.28422800
 B                  1.20299300    1.45354600    0.88730700
 H                  0.15453900    0.36365500    1.25558100
 H                  0.90276300    1.42226300   -0.27426900
 H                  0.74199200    2.30854000    1.58445400
 O                  0.53489400   -1.03551700   -1.73939200
 O                  4.55559500    0.85810100   -0.66204200
 C                  0.19313000   -2.10052400   -2.60217100
 C                  5.31061400    0.43591400    0.47557300
 H                  4.60786400    0.30863300    1.29756900
 H                  5.81183100   -0.51395900    0.27862600
 H                  6.04959200    1.19099600    0.75020800
 H                  0.51373500   -3.06666300   -2.19749300
 H                 -0.88752700   -2.14069100   -2.77864800
 H                  0.69016900   -1.94743100   -3.56178800
 H                  0.23989100   -1.27426100   -0.80395400
 H                  5.15692000    1.03266700   -1.39123300
 O                  2.63659100   -1.92257200    0.75652900
 C                  2.88929400   -3.22904700    0.27320700
 H                  2.60582000   -3.98974000    1.00810100
 H                  2.34438200   -3.42925400   -0.65692600
 H                  3.95836000   -3.32374000    0.07538000
 H                  1.64316800   -1.82795100    0.87517200
 O                  3.03581700    3.12441700    0.07661900
 H                  3.64966700    2.41402200   -0.17204700
 C                  2.55341700    3.72494200   -1.11229000
 H                  3.34654900    4.26899700   -1.63568200
 H                  2.12384100    2.98436400   -1.79489600
 H                  1.77066700    4.43136200   -0.83447700
 C                 -0.47582400   -0.60283200    1.40365200
 C                 -0.43904600   -0.80374500    2.91589900
 H                 -1.06299800   -1.66223700    3.17827200
 H                  0.58651300   -1.00701600    3.23117600
 H                 -0.80403200    0.07209900    3.45516100
 C                 -1.84868400   -0.17472200    0.90407900
 C                 -2.41746300    1.03208500    1.31351200
 C                 -2.57076900   -0.97069300    0.03184800
 C                 -3.66462900    1.42237200    0.87138200
 H                 -1.86803500    1.68421500    1.98380700
 C                 -3.83253600   -0.59708500   -0.42346400
 H                 -2.14648400   -1.90776000   -0.30647700
 C                 -4.38363100    0.60510600   -0.00188800
 H                 -4.09848300    2.36301700    1.18900200
 H                 -4.36449600   -1.24911700   -1.10225100
 O                 -5.60156100    1.06806800   -0.38525500
 C                 -6.37007700    0.27362000   -1.27152700
 H                 -7.29378200    0.82260300   -1.44390500
 H                 -5.85348400    0.12824700   -2.22430000
 H                 -6.60516800   -0.69897400   -0.83030300</t>
    <phoneticPr fontId="1"/>
  </si>
  <si>
    <r>
      <t>Na(BH</t>
    </r>
    <r>
      <rPr>
        <vertAlign val="subscript"/>
        <sz val="10"/>
        <color theme="1" tint="0.499984740745262"/>
        <rFont val="Arial"/>
        <family val="2"/>
      </rPr>
      <t>3</t>
    </r>
    <r>
      <rPr>
        <sz val="10"/>
        <color theme="1" tint="0.499984740745262"/>
        <rFont val="Arial"/>
        <family val="2"/>
      </rPr>
      <t>)(</t>
    </r>
    <r>
      <rPr>
        <i/>
        <sz val="10"/>
        <color theme="1" tint="0.499984740745262"/>
        <rFont val="Arial"/>
        <family val="2"/>
      </rPr>
      <t>eq</t>
    </r>
    <r>
      <rPr>
        <sz val="10"/>
        <color theme="1" tint="0.499984740745262"/>
        <rFont val="Arial"/>
        <family val="2"/>
      </rPr>
      <t>-CyHO)(MeOH)</t>
    </r>
    <r>
      <rPr>
        <vertAlign val="subscript"/>
        <sz val="10"/>
        <color theme="1" tint="0.499984740745262"/>
        <rFont val="Arial"/>
        <family val="2"/>
      </rPr>
      <t>4</t>
    </r>
    <phoneticPr fontId="1"/>
  </si>
  <si>
    <t>0 1
 O                  1.55425400   -1.60534700   -0.27080700
 Na                -1.33997200   -0.65782200    0.56010500
 H                 -0.80149600    1.44966200   -0.66586100
 B                 -1.01056000    2.17826200    0.28443800
 H                  1.25406200    0.32178500    0.41351400
 H                 -0.85129900    1.60773800    1.35608700
 H                 -0.38500600    3.21209300    0.23164300
 O                  0.13793400   -1.92539200    1.80175700
 O                 -3.53277400    0.13705900    0.00694800
 C                 -0.06678500   -3.27770100    2.14934200
 C                 -3.93052000   -0.21094700   -1.32495000
 H                 -3.09064400    0.01825200   -1.97786600
 H                 -4.16343400   -1.27462700   -1.38572000
 H                 -4.79831800    0.37568800   -1.63032600
 H                 -0.37627300   -3.87808300    1.28577800
 H                  0.84128800   -3.72568500    2.56884500
 H                 -0.85376100   -3.33395600    2.90438700
 H                  0.79008900   -1.88058900    1.00828700
 H                 -4.25747300   -0.04354100    0.61364000
 O                 -0.67606400   -1.53606300   -1.49413400
 C                 -1.11954600   -2.84179000   -1.79652700
 H                 -0.47821000   -3.32073200   -2.54491100
 H                 -1.14188800   -3.48273900   -0.90664200
 H                 -2.13158000   -2.78513100   -2.20258900
 H                  0.26569700   -1.59321800   -1.09406100
 O                 -2.53011400    2.55257000    0.17517000
 H                 -3.05265000    1.70811500    0.09986700
 C                 -3.06835400    3.37339400    1.22447200
 H                 -4.12317000    3.54111600    1.01676600
 H                 -2.93830700    2.88070600    2.18910000
 H                 -2.52626900    4.31570100    1.20680900
 C                  2.01193600   -0.29247900   -0.11623900
 C                  3.27880900   -0.23741800    0.73805100
 C                  2.25540500    0.39229100   -1.46141700
 C                  3.79244800    1.18907900    0.91644800
 H                  4.04611700   -0.85014600    0.24855200
 H                  3.07281100   -0.69569800    1.71022800
 C                  2.76540200    1.82153400   -1.29429800
 H                  2.99007000   -0.20260800   -2.01841500
 H                  1.32849000    0.38487800   -2.04241400
 C                  4.02327400    1.86767800   -0.43108700
 H                  4.71428600    1.18837600    1.50425800
 H                  3.05655700    1.76779300    1.48693900
 H                  2.95965700    2.26918200   -2.27265300
 H                  1.98357800    2.42733500   -0.82152900
 H                  4.34284100    2.90284700   -0.28351300
 H                  4.83842800    1.35577400   -0.95578100</t>
    <phoneticPr fontId="1"/>
  </si>
  <si>
    <r>
      <t>MeOH</t>
    </r>
    <r>
      <rPr>
        <sz val="10"/>
        <color theme="1" tint="0.499984740745262"/>
        <rFont val="游ゴシック"/>
        <family val="2"/>
        <charset val="128"/>
      </rPr>
      <t>・</t>
    </r>
    <r>
      <rPr>
        <sz val="10"/>
        <color theme="1" tint="0.499984740745262"/>
        <rFont val="Arial"/>
        <family val="2"/>
      </rPr>
      <t>BH</t>
    </r>
    <r>
      <rPr>
        <vertAlign val="subscript"/>
        <sz val="10"/>
        <color theme="1" tint="0.499984740745262"/>
        <rFont val="Arial"/>
        <family val="2"/>
      </rPr>
      <t>3</t>
    </r>
    <r>
      <rPr>
        <sz val="10"/>
        <color theme="1" tint="0.499984740745262"/>
        <rFont val="Arial"/>
        <family val="2"/>
      </rPr>
      <t xml:space="preserve"> (via CyO reduction)</t>
    </r>
    <phoneticPr fontId="1"/>
  </si>
  <si>
    <r>
      <t>MeOBH</t>
    </r>
    <r>
      <rPr>
        <vertAlign val="subscript"/>
        <sz val="10"/>
        <color theme="1" tint="0.499984740745262"/>
        <rFont val="Arial"/>
        <family val="2"/>
      </rPr>
      <t>3</t>
    </r>
    <r>
      <rPr>
        <vertAlign val="superscript"/>
        <sz val="10"/>
        <color theme="1" tint="0.499984740745262"/>
        <rFont val="Arial"/>
        <family val="2"/>
      </rPr>
      <t>-</t>
    </r>
    <r>
      <rPr>
        <sz val="10"/>
        <color theme="1" tint="0.499984740745262"/>
        <rFont val="Arial"/>
        <family val="2"/>
      </rPr>
      <t xml:space="preserve"> (via CyO reduction)</t>
    </r>
    <phoneticPr fontId="1"/>
  </si>
  <si>
    <r>
      <t>Na(MeOBH</t>
    </r>
    <r>
      <rPr>
        <vertAlign val="subscript"/>
        <sz val="10"/>
        <color theme="1" tint="0.499984740745262"/>
        <rFont val="Arial"/>
        <family val="2"/>
      </rPr>
      <t>3</t>
    </r>
    <r>
      <rPr>
        <sz val="10"/>
        <color theme="1" tint="0.499984740745262"/>
        <rFont val="Arial"/>
        <family val="2"/>
      </rPr>
      <t>)(MeOH)</t>
    </r>
    <r>
      <rPr>
        <vertAlign val="subscript"/>
        <sz val="10"/>
        <color theme="1" tint="0.499984740745262"/>
        <rFont val="Arial"/>
        <family val="2"/>
      </rPr>
      <t>4</t>
    </r>
    <r>
      <rPr>
        <sz val="10"/>
        <color theme="1" tint="0.499984740745262"/>
        <rFont val="Arial"/>
        <family val="2"/>
      </rPr>
      <t xml:space="preserve"> (via CyO reduction)</t>
    </r>
    <phoneticPr fontId="1"/>
  </si>
  <si>
    <r>
      <t>04_BH</t>
    </r>
    <r>
      <rPr>
        <b/>
        <vertAlign val="subscript"/>
        <sz val="10"/>
        <color theme="1"/>
        <rFont val="Arial"/>
        <family val="2"/>
      </rPr>
      <t>4</t>
    </r>
    <r>
      <rPr>
        <b/>
        <vertAlign val="superscript"/>
        <sz val="10"/>
        <color theme="1"/>
        <rFont val="Arial"/>
        <family val="2"/>
      </rPr>
      <t>-</t>
    </r>
    <r>
      <rPr>
        <b/>
        <sz val="10"/>
        <color theme="1"/>
        <rFont val="Arial"/>
        <family val="2"/>
      </rPr>
      <t xml:space="preserve"> methanolysis</t>
    </r>
    <phoneticPr fontId="1"/>
  </si>
  <si>
    <r>
      <t>BH</t>
    </r>
    <r>
      <rPr>
        <vertAlign val="subscript"/>
        <sz val="10"/>
        <rFont val="Arial"/>
        <family val="2"/>
      </rPr>
      <t>4</t>
    </r>
    <r>
      <rPr>
        <vertAlign val="superscript"/>
        <sz val="10"/>
        <rFont val="ＭＳ Ｐゴシック"/>
        <family val="3"/>
        <charset val="128"/>
      </rPr>
      <t>-</t>
    </r>
    <phoneticPr fontId="1"/>
  </si>
  <si>
    <t>-1 1
 B                  0.00000000    0.00000000    0.00000000
 H                  0.70973300    0.70973300    0.70973300
 H                 -0.70973300   -0.70973300    0.70973300
 H                 -0.70973300    0.70973300   -0.70973300
 H                  0.70973300   -0.70973300   -0.70973300</t>
    <phoneticPr fontId="1"/>
  </si>
  <si>
    <r>
      <t>MeOH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游ゴシック"/>
        <family val="2"/>
        <charset val="128"/>
      </rPr>
      <t>・</t>
    </r>
    <r>
      <rPr>
        <sz val="10"/>
        <color theme="1"/>
        <rFont val="Arial"/>
        <family val="2"/>
      </rPr>
      <t>BH</t>
    </r>
    <r>
      <rPr>
        <vertAlign val="subscript"/>
        <sz val="10"/>
        <color theme="1"/>
        <rFont val="Arial"/>
        <family val="2"/>
      </rPr>
      <t>4</t>
    </r>
    <phoneticPr fontId="1"/>
  </si>
  <si>
    <t>0 1
 B                  2.11262100    0.18049600    0.02870900
 H                  1.65758800    1.26759400   -0.29477200
 H                  3.30639800    0.11373900   -0.21114100
 H                  0.31134500   -0.61145400   -0.25269900
 H                  1.59315700   -0.70615000   -0.67128300
 O                 -0.70289700   -0.71325800   -0.10159200
 C                 -1.37762400    0.57768300    0.01821000
 H                 -1.16232200    1.11199000   -0.90130200
 H                 -2.43809300    0.36453500    0.10931600
 H                 -0.99455400    1.10584600    0.88742500
 H                 -0.83641800   -1.26542600    0.68478400
 H                  1.88871800   -0.04319000    1.20960500</t>
    <phoneticPr fontId="1"/>
  </si>
  <si>
    <r>
      <t>[MeOH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游ゴシック"/>
        <family val="2"/>
        <charset val="128"/>
      </rPr>
      <t>・</t>
    </r>
    <r>
      <rPr>
        <sz val="10"/>
        <color theme="1"/>
        <rFont val="Arial"/>
        <family val="2"/>
      </rPr>
      <t>BH</t>
    </r>
    <r>
      <rPr>
        <vertAlign val="subscript"/>
        <sz val="10"/>
        <color theme="1"/>
        <rFont val="Arial"/>
        <family val="2"/>
      </rPr>
      <t>4</t>
    </r>
    <r>
      <rPr>
        <sz val="10"/>
        <color theme="1"/>
        <rFont val="Arial"/>
        <family val="2"/>
      </rPr>
      <t>]</t>
    </r>
    <r>
      <rPr>
        <vertAlign val="superscript"/>
        <sz val="10"/>
        <color theme="1"/>
        <rFont val="游ゴシック"/>
        <family val="3"/>
        <charset val="128"/>
      </rPr>
      <t>‡</t>
    </r>
    <phoneticPr fontId="1"/>
  </si>
  <si>
    <t>0 1
 B                  2.22946500   -0.13163800    0.00052200
 H                  2.11772500    0.97707500   -0.47500300
 H                  2.99790300   -0.82446100   -0.62933500
 H                  0.58375700   -0.07580200   -0.04990800
 H                  1.18486000   -0.84455200   -0.18586500
 O                 -0.53581700    0.53677500    0.11983800
 H                  2.44105700   -0.12123000    1.19287400
 C                 -1.64307900   -0.36886600   -0.02457100
 H                 -1.50957800   -1.14460700    0.72580600
 H                 -2.56949300    0.17160300    0.16108200
 H                 -1.65084700   -0.80780500   -1.02239800
 H                 -0.59770200    1.24696300   -0.53114200</t>
    <phoneticPr fontId="1"/>
  </si>
  <si>
    <r>
      <t>BH</t>
    </r>
    <r>
      <rPr>
        <vertAlign val="subscript"/>
        <sz val="10"/>
        <color theme="1"/>
        <rFont val="Arial"/>
        <family val="2"/>
      </rPr>
      <t>3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  <charset val="161"/>
      </rPr>
      <t>σ</t>
    </r>
    <r>
      <rPr>
        <sz val="10"/>
        <color theme="1"/>
        <rFont val="Arial"/>
        <family val="2"/>
      </rPr>
      <t>(H</t>
    </r>
    <r>
      <rPr>
        <vertAlign val="subscript"/>
        <sz val="10"/>
        <color theme="1"/>
        <rFont val="Arial"/>
        <family val="3"/>
      </rPr>
      <t>2</t>
    </r>
    <r>
      <rPr>
        <sz val="10"/>
        <color theme="1"/>
        <rFont val="Arial"/>
        <family val="2"/>
      </rPr>
      <t>)</t>
    </r>
    <phoneticPr fontId="1"/>
  </si>
  <si>
    <t>0 1
 B                  0.19033900    0.00579400   -0.00001600
 H                  0.25573300    1.20864400   -0.00139700
 H                  0.51956100   -0.51243200   -1.03023300
 H                  0.51997100   -0.51019500    1.03118600
 H                 -1.15373100    0.29935000    0.00016100
 H                 -1.09323000   -0.51433900    0.00036100</t>
    <phoneticPr fontId="1"/>
  </si>
  <si>
    <r>
      <t>[MeOH</t>
    </r>
    <r>
      <rPr>
        <sz val="10"/>
        <color theme="1"/>
        <rFont val="游ゴシック"/>
        <family val="2"/>
        <charset val="128"/>
      </rPr>
      <t>・</t>
    </r>
    <r>
      <rPr>
        <sz val="10"/>
        <color theme="1"/>
        <rFont val="Arial"/>
        <family val="2"/>
      </rPr>
      <t>BH</t>
    </r>
    <r>
      <rPr>
        <vertAlign val="subscript"/>
        <sz val="10"/>
        <color theme="1"/>
        <rFont val="Arial"/>
        <family val="2"/>
      </rPr>
      <t>3</t>
    </r>
    <r>
      <rPr>
        <sz val="10"/>
        <color theme="1"/>
        <rFont val="游ゴシック"/>
        <family val="2"/>
        <charset val="128"/>
      </rPr>
      <t>・</t>
    </r>
    <r>
      <rPr>
        <sz val="10"/>
        <color theme="1"/>
        <rFont val="Arial"/>
        <family val="2"/>
      </rPr>
      <t>H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]</t>
    </r>
    <r>
      <rPr>
        <vertAlign val="superscript"/>
        <sz val="10"/>
        <color theme="1"/>
        <rFont val="游ゴシック"/>
        <family val="3"/>
        <charset val="128"/>
      </rPr>
      <t>‡</t>
    </r>
    <phoneticPr fontId="1"/>
  </si>
  <si>
    <t>0 1
 B                 -1.71778600   -0.01979900   -0.00818700
 H                 -1.46874500   -0.76425200   -0.91010100
 H                 -1.48385100   -0.34412600    1.11777700
 H                 -2.01375100    1.11372200   -0.25213100
 H                 -3.31157200   -0.88578200    0.01486000
 H                 -3.51721600   -0.16002600    0.11824900
 O                  0.71814100    0.68408600   -0.12767300
 H                  0.78904200    1.19558800    0.68245100
 C                  1.47362500   -0.50780200    0.02464400
 H                  1.37444400   -1.07505400   -0.90055600
 H                  2.53250800   -0.28877800    0.19100500
 H                  1.10119200   -1.11817500    0.85290500</t>
    <phoneticPr fontId="1"/>
  </si>
  <si>
    <r>
      <t>H</t>
    </r>
    <r>
      <rPr>
        <vertAlign val="subscript"/>
        <sz val="10"/>
        <color theme="1"/>
        <rFont val="Arial"/>
        <family val="2"/>
      </rPr>
      <t>2</t>
    </r>
    <phoneticPr fontId="1"/>
  </si>
  <si>
    <t>0 1
 H                  0.00000000    0.00000000    0.37254100
 H                  0.00000000    0.00000000   -0.37254100</t>
    <phoneticPr fontId="1"/>
  </si>
  <si>
    <r>
      <t>MeOH</t>
    </r>
    <r>
      <rPr>
        <sz val="10"/>
        <color theme="1"/>
        <rFont val="游ゴシック"/>
        <family val="2"/>
        <charset val="128"/>
      </rPr>
      <t>・</t>
    </r>
    <r>
      <rPr>
        <sz val="10"/>
        <color theme="1"/>
        <rFont val="Arial"/>
        <family val="2"/>
      </rPr>
      <t>BH</t>
    </r>
    <r>
      <rPr>
        <vertAlign val="subscript"/>
        <sz val="10"/>
        <color theme="1"/>
        <rFont val="Arial"/>
        <family val="2"/>
      </rPr>
      <t>3</t>
    </r>
    <phoneticPr fontId="1"/>
  </si>
  <si>
    <t>0 1
 B                 -1.37078000   -0.26360800    0.02374300
 H                 -1.37063800   -1.06185900   -0.88903900
 H                 -1.36740200   -0.80124800    1.11538700
 H                 -2.22367700    0.59061100   -0.08403200
 O                  0.00367600    0.51900400   -0.12270400
 H                  0.03665400    1.29472500    0.45031300
 C                  1.21065000   -0.25548300    0.02259400
 H                  2.05897800    0.40770700   -0.13066500
 H                  1.24369800   -0.70939600    1.01305700
 H                  1.18297800   -1.02163700   -0.74766900</t>
    <phoneticPr fontId="1"/>
  </si>
  <si>
    <r>
      <t>(MeO)BH</t>
    </r>
    <r>
      <rPr>
        <vertAlign val="subscript"/>
        <sz val="10"/>
        <color theme="1"/>
        <rFont val="Arial"/>
        <family val="2"/>
      </rPr>
      <t>3</t>
    </r>
    <r>
      <rPr>
        <vertAlign val="superscript"/>
        <sz val="10"/>
        <color theme="1"/>
        <rFont val="Arial"/>
        <family val="2"/>
      </rPr>
      <t>-</t>
    </r>
    <phoneticPr fontId="1"/>
  </si>
  <si>
    <t>-1 1
 B                  1.26973800    0.20119300    0.00004300
 H                  1.34506700    0.93326700   -1.00517500
 H                  1.34500900    0.93295500    1.00549200
 H                  2.21936600   -0.58409100   -0.00005500
 O                  0.01147500   -0.58393300   -0.00011200
 C                 -1.15022000    0.19293000    0.00003400
 H                 -2.02889200   -0.46026000   -0.00013700
 H                 -1.20988400    0.84282300    0.88708400
 H                 -1.20983900    0.84322300   -0.88672900</t>
    <phoneticPr fontId="1"/>
  </si>
  <si>
    <r>
      <t>Na(MeOBH</t>
    </r>
    <r>
      <rPr>
        <vertAlign val="subscript"/>
        <sz val="10"/>
        <color theme="1"/>
        <rFont val="Arial"/>
        <family val="2"/>
      </rPr>
      <t>3</t>
    </r>
    <r>
      <rPr>
        <sz val="10"/>
        <color theme="1"/>
        <rFont val="Arial"/>
        <family val="2"/>
      </rPr>
      <t>)(MeOH)</t>
    </r>
    <r>
      <rPr>
        <vertAlign val="subscript"/>
        <sz val="10"/>
        <color theme="1"/>
        <rFont val="Arial"/>
        <family val="2"/>
      </rPr>
      <t>4</t>
    </r>
    <phoneticPr fontId="1"/>
  </si>
  <si>
    <t>0 1
 Na                 0.02717800    0.11601800   -0.07381900
 C                  2.66401700   -1.84248500    0.50251000
 O                  1.93025600   -1.12552400   -0.44638100
 H                  1.98634500   -2.45381400    1.10565600
 H                  3.21606300   -1.17363400    1.17924000
 H                  3.39655300   -2.51171400    0.02832400
 C                 -2.35785000   -0.37059000    1.92138500
 O                 -0.96029200   -0.62808100    1.96449500
 H                 -2.48468300    0.70247700    1.78076100
 H                 -2.84357600   -0.66206000    2.85638900
 H                 -2.83650300   -0.89751600    1.09073700
 H                 -0.82492100   -1.56828000    2.11013900
 C                  1.50076300    3.02616600    0.44508300
 O                  1.57918700    1.69469500    0.93125800
 H                  0.59104600    3.47100600    0.84723200
 H                  1.45584100    3.05124300   -0.64828500
 H                  2.35780800    3.62055300    0.77536800
 H                  2.35073100    1.27634900    0.52115900
 C                 -2.63923100    1.62316400   -1.35139800
 O                 -1.37738500    1.88551800   -0.75238600
 H                 -2.52635100    1.24461900   -2.37095200
 H                 -3.26131200    2.52195700   -1.36938100
 H                 -3.13725000    0.86765100   -0.74442600
 H                 -0.94068300    2.58284400   -1.24817400
 C                 -1.20842200   -2.79185200   -0.64753900
 O                 -1.33785200   -1.48906600   -1.19973100
 H                 -1.72445400   -2.87360000    0.31379400
 H                 -0.14499200   -2.97482500   -0.49719600
 H                 -1.60312200   -3.55090500   -1.32850900
 H                 -2.27134300   -1.29522700   -1.31576800
 H                  3.47421500   -0.90682700   -2.08011100
 H                  1.94004800    0.41507500   -2.01316700
 H                  3.44996600    0.52294600   -0.67570300
 B                  2.73092600   -0.25025500   -1.34067900</t>
    <phoneticPr fontId="1"/>
  </si>
  <si>
    <r>
      <t>05_BH</t>
    </r>
    <r>
      <rPr>
        <b/>
        <vertAlign val="subscript"/>
        <sz val="10"/>
        <rFont val="Arial"/>
        <family val="2"/>
      </rPr>
      <t>3</t>
    </r>
    <r>
      <rPr>
        <b/>
        <sz val="10"/>
        <rFont val="Arial"/>
        <family val="2"/>
      </rPr>
      <t xml:space="preserve"> reduction</t>
    </r>
    <phoneticPr fontId="1"/>
  </si>
  <si>
    <t>CyO</t>
    <phoneticPr fontId="1"/>
  </si>
  <si>
    <t>0 1
 C                 -1.01091100   -1.25584800   -0.28186700
 C                  0.39195700   -1.27506400    0.33632500
 C                  0.39195400    1.27505900    0.33634200
 C                 -1.01091400    1.25585100   -0.28184500
 C                 -1.77878000   -0.00000300    0.11308800
 H                  0.30024300   -1.35415200    1.42617600
 H                  0.98228700   -2.12139500   -0.01514700
 H                 -0.92161600   -1.29822100   -1.37187300
 H                 -1.54990400   -2.15260400    0.02889500
 H                  0.30024600    1.35413200    1.42619400
 H                  0.98228300    2.12139600   -0.01511700
 H                 -1.54990800    2.15260100    0.02893400
 H                 -0.92162300    1.29824500   -1.37185100
 H                 -1.94661500   -0.00001200    1.19554700
 H                 -2.76159700    0.00000100   -0.36337100
 C                  1.14219000    0.00000000    0.06530000
 O                  2.29165400    0.00000400   -0.33655600</t>
    <phoneticPr fontId="1"/>
  </si>
  <si>
    <r>
      <rPr>
        <sz val="10"/>
        <color theme="1" tint="0.499984740745262"/>
        <rFont val="游ゴシック"/>
        <family val="2"/>
        <charset val="128"/>
      </rPr>
      <t>[CyO・</t>
    </r>
    <r>
      <rPr>
        <sz val="10"/>
        <color theme="1" tint="0.499984740745262"/>
        <rFont val="Arial"/>
        <family val="2"/>
      </rPr>
      <t>BH</t>
    </r>
    <r>
      <rPr>
        <vertAlign val="subscript"/>
        <sz val="10"/>
        <color theme="1" tint="0.499984740745262"/>
        <rFont val="Arial"/>
        <family val="2"/>
      </rPr>
      <t>3</t>
    </r>
    <r>
      <rPr>
        <sz val="10"/>
        <color theme="1" tint="0.499984740745262"/>
        <rFont val="游ゴシック"/>
        <family val="2"/>
        <charset val="128"/>
      </rPr>
      <t>・</t>
    </r>
    <r>
      <rPr>
        <sz val="10"/>
        <color theme="1" tint="0.499984740745262"/>
        <rFont val="Arial"/>
        <family val="2"/>
      </rPr>
      <t>MeOH]</t>
    </r>
    <r>
      <rPr>
        <vertAlign val="superscript"/>
        <sz val="10"/>
        <color theme="1" tint="0.499984740745262"/>
        <rFont val="游ゴシック"/>
        <family val="3"/>
        <charset val="128"/>
      </rPr>
      <t>‡</t>
    </r>
    <phoneticPr fontId="1"/>
  </si>
  <si>
    <t>0 1
 B                  2.17283000   -0.40378200   -0.30148900
 H                  1.99168700   -0.09124000   -1.44284600
 H                  1.98258600    0.39043400    0.57441500
 H                  2.58047800   -1.49662800   -0.03554000
 O                  0.11732400   -1.20944900   -0.11335500
 C                 -0.94084700   -0.62578800   -0.29172900
 C                 -1.01509000    0.82200200   -0.67596500
 C                 -2.25115100   -1.34523800   -0.15510800
 C                 -2.04211000    1.58406900    0.17061500
 H                 -1.33250900    0.84025300   -1.72544200
 H                 -0.02622000    1.27216200   -0.61575500
 C                 -3.25689900   -0.55091400    0.68591900
 H                 -2.64521600   -1.45607300   -1.17241600
 H                 -2.07447200   -2.34166000    0.24936400
 C                 -3.39389600    0.88144700    0.18487900
 H                 -2.13707600    2.59878200   -0.21958200
 H                 -1.66612000    1.66896700    1.19479700
 H                 -4.22006000   -1.06355100    0.66429300
 H                 -2.92242700   -0.54112400    1.72781400
 H                 -4.09211500    1.43226900    0.81880000
 H                 -3.81336200    0.87583900   -0.82688700
 O                  4.31092900    0.30147000   -0.46222800
 H                  4.25398700    1.23569000   -0.68245100
 C                  4.96853200    0.16899200    0.79067200
 H                  5.01970100   -0.89531100    1.01726500
 H                  4.41595200    0.67519500    1.58721800
 H                  5.98377500    0.57132200    0.74337800</t>
    <phoneticPr fontId="1"/>
  </si>
  <si>
    <r>
      <t>CyO</t>
    </r>
    <r>
      <rPr>
        <sz val="10"/>
        <color theme="1" tint="0.499984740745262"/>
        <rFont val="ＭＳ Ｐゴシック"/>
        <family val="3"/>
        <charset val="128"/>
      </rPr>
      <t>・</t>
    </r>
    <r>
      <rPr>
        <sz val="10"/>
        <color theme="1" tint="0.499984740745262"/>
        <rFont val="Arial"/>
        <family val="2"/>
      </rPr>
      <t>BH</t>
    </r>
    <r>
      <rPr>
        <vertAlign val="subscript"/>
        <sz val="10"/>
        <color theme="1" tint="0.499984740745262"/>
        <rFont val="Arial"/>
        <family val="2"/>
      </rPr>
      <t>3</t>
    </r>
    <phoneticPr fontId="1"/>
  </si>
  <si>
    <t>0 1
 C                  1.17186100    1.41221000   -0.25316400
 C                 -0.20523900    1.10292400    0.34545600
 C                  0.38888500   -1.38570000    0.27007500
 C                  1.74171800   -1.02349600   -0.34777200
 C                  2.20559700    0.35403700    0.10527300
 H                 -0.16374100    1.21319500    1.43813400
 H                 -0.97008000    1.78483100   -0.01844400
 H                  1.07609100    1.47264300   -1.34079500
 H                  1.48385100    2.39708900    0.09600100
 H                  0.51382600   -1.51302900    1.35399800
 H                 -0.02077100   -2.31461900   -0.12443900
 H                  2.46595600   -1.79078800   -0.07198000
 H                  1.65355800   -1.03986200   -1.43769400
 H                  2.36956300    0.34934500    1.18785700
 H                  3.16051500    0.59760700   -0.36437400
 C                 -0.62289900   -0.30536600    0.13515800
 O                 -1.79680200   -0.63859000   -0.09155200
 B                 -3.05376500    0.30461500   -0.18144900
 H                 -2.88815800    1.05117000   -1.12613300
 H                 -3.13525100    0.90874800    0.86992300
 H                 -3.98164600   -0.45834600   -0.35254300</t>
    <phoneticPr fontId="1"/>
  </si>
  <si>
    <r>
      <t>[</t>
    </r>
    <r>
      <rPr>
        <i/>
        <sz val="10"/>
        <color theme="1" tint="0.499984740745262"/>
        <rFont val="Arial"/>
        <family val="2"/>
      </rPr>
      <t>eq</t>
    </r>
    <r>
      <rPr>
        <sz val="10"/>
        <color theme="1" tint="0.499984740745262"/>
        <rFont val="Arial"/>
        <family val="2"/>
      </rPr>
      <t>-CyO</t>
    </r>
    <r>
      <rPr>
        <sz val="10"/>
        <color theme="1" tint="0.499984740745262"/>
        <rFont val="游ゴシック"/>
        <family val="2"/>
        <charset val="128"/>
      </rPr>
      <t>・</t>
    </r>
    <r>
      <rPr>
        <sz val="10"/>
        <color theme="1" tint="0.499984740745262"/>
        <rFont val="Arial"/>
        <family val="2"/>
      </rPr>
      <t>BH</t>
    </r>
    <r>
      <rPr>
        <vertAlign val="subscript"/>
        <sz val="10"/>
        <color theme="1" tint="0.499984740745262"/>
        <rFont val="Arial"/>
        <family val="2"/>
      </rPr>
      <t>3</t>
    </r>
    <r>
      <rPr>
        <sz val="10"/>
        <color theme="1" tint="0.499984740745262"/>
        <rFont val="Arial"/>
        <family val="2"/>
      </rPr>
      <t>]</t>
    </r>
    <r>
      <rPr>
        <vertAlign val="superscript"/>
        <sz val="10"/>
        <color theme="1" tint="0.499984740745262"/>
        <rFont val="游ゴシック"/>
        <family val="3"/>
        <charset val="128"/>
      </rPr>
      <t>‡</t>
    </r>
    <phoneticPr fontId="1"/>
  </si>
  <si>
    <t>0 1
 B                  2.34672700   -0.00001400    1.01063400
 H                  1.27226000   -0.00003200    1.60066600
 O                  1.99122200    0.00000400   -0.60622600
 H                  2.94098300   -1.03221800    1.20082300
 H                  2.94096600    1.03219400    1.20085300
 C                  0.73368900    0.00000500   -0.45342200
 C                 -0.02128800    1.27908000   -0.47391000
 C                 -0.02129500   -1.27906500   -0.47395800
 C                 -1.30353400    1.25502700    0.35728100
 H                 -0.27427500    1.39964200   -1.53784100
 H                  0.64580800    2.09882400   -0.20940900
 C                 -1.30354000   -1.25503700    0.35723400
 H                 -0.27428200   -1.39958800   -1.53789300
 H                  0.64579800   -2.09882300   -0.20948600
 C                 -2.12443300    0.00000200    0.08943800
 H                 -1.88247700    2.15230500    0.13518600
 H                 -1.03571600    1.29748000    1.41668700
 H                 -1.88248800   -2.15230300    0.13510800
 H                 -1.03572200   -1.29753000    1.41663900
 H                 -2.46639600    0.00002200   -0.95077600
 H                 -3.01546800   -0.00000700    0.72010200</t>
    <phoneticPr fontId="1"/>
  </si>
  <si>
    <r>
      <t>[</t>
    </r>
    <r>
      <rPr>
        <i/>
        <sz val="10"/>
        <color theme="1" tint="0.499984740745262"/>
        <rFont val="Arial"/>
        <family val="2"/>
      </rPr>
      <t>ax</t>
    </r>
    <r>
      <rPr>
        <sz val="10"/>
        <color theme="1" tint="0.499984740745262"/>
        <rFont val="Arial"/>
        <family val="2"/>
      </rPr>
      <t>-CyO</t>
    </r>
    <r>
      <rPr>
        <sz val="10"/>
        <color theme="1" tint="0.499984740745262"/>
        <rFont val="游ゴシック"/>
        <family val="2"/>
        <charset val="128"/>
      </rPr>
      <t>・</t>
    </r>
    <r>
      <rPr>
        <sz val="10"/>
        <color theme="1" tint="0.499984740745262"/>
        <rFont val="Arial"/>
        <family val="2"/>
      </rPr>
      <t>BH</t>
    </r>
    <r>
      <rPr>
        <vertAlign val="subscript"/>
        <sz val="10"/>
        <color theme="1" tint="0.499984740745262"/>
        <rFont val="Arial"/>
        <family val="2"/>
      </rPr>
      <t>3</t>
    </r>
    <r>
      <rPr>
        <sz val="10"/>
        <color theme="1" tint="0.499984740745262"/>
        <rFont val="Arial"/>
        <family val="2"/>
      </rPr>
      <t>]</t>
    </r>
    <r>
      <rPr>
        <vertAlign val="superscript"/>
        <sz val="10"/>
        <color theme="1" tint="0.499984740745262"/>
        <rFont val="游ゴシック"/>
        <family val="3"/>
        <charset val="128"/>
      </rPr>
      <t>‡</t>
    </r>
    <phoneticPr fontId="1"/>
  </si>
  <si>
    <t>0 1
 B                  2.79731000    0.00001700    0.24251300
 H                  2.23757000    0.00005400    1.33656800
 O                  1.59510200   -0.00005600   -0.87532200
 H                  3.39507400   -1.03452000    0.08074800
 H                  3.39503800    1.03456100    0.08065800
 C                  0.68996600   -0.00000400    0.01808200
 C                  0.02056600   -1.26464300    0.42198200
 C                  0.02057700    1.26468400    0.42184500
 C                 -1.37235100   -1.25826300   -0.25037900
 H                 -0.11017600   -1.27394700    1.50527800
 H                  0.61151300   -2.12403400    0.11085000
 C                 -1.37234200    1.25824300   -0.25051100
 H                 -0.11016300    1.27410600    1.50514100
 H                  0.61152900    2.12403700    0.11062100
 C                 -2.15287200    0.00001100    0.11002400
 H                 -1.90426400   -2.15600900    0.06601900
 H                 -1.24512500   -1.32012800   -1.33478400
 H                 -1.90424900    2.15602400    0.06579500
 H                 -1.24511800    1.31999500   -1.33492300
 H                 -2.36808100    0.00006800    1.18314000
 H                 -3.11218700   -0.00001200   -0.41135500</t>
    <phoneticPr fontId="1"/>
  </si>
  <si>
    <r>
      <rPr>
        <i/>
        <sz val="10"/>
        <color theme="1" tint="0.499984740745262"/>
        <rFont val="Arial"/>
        <family val="2"/>
      </rPr>
      <t>eq</t>
    </r>
    <r>
      <rPr>
        <sz val="10"/>
        <color theme="1" tint="0.499984740745262"/>
        <rFont val="Arial"/>
        <family val="2"/>
      </rPr>
      <t>-CyOH</t>
    </r>
    <r>
      <rPr>
        <sz val="10"/>
        <color theme="1" tint="0.499984740745262"/>
        <rFont val="游ゴシック"/>
        <family val="2"/>
        <charset val="128"/>
      </rPr>
      <t>・</t>
    </r>
    <r>
      <rPr>
        <sz val="10"/>
        <color theme="1" tint="0.499984740745262"/>
        <rFont val="Arial"/>
        <family val="2"/>
      </rPr>
      <t>BH</t>
    </r>
    <r>
      <rPr>
        <vertAlign val="subscript"/>
        <sz val="10"/>
        <color theme="1" tint="0.499984740745262"/>
        <rFont val="Arial"/>
        <family val="2"/>
      </rPr>
      <t>2</t>
    </r>
    <phoneticPr fontId="1"/>
  </si>
  <si>
    <t>0 1
 C                  1.48598900   -1.25883000    0.26561100
 C                  0.05289500   -1.25735800   -0.26171700
 C                  0.05284300    1.25732300   -0.26177600
 C                  1.48593800    1.25887600    0.26555100
 C                  2.23643400    0.00002700   -0.15973400
 H                  0.06032300   -1.29446700   -1.35639100
 H                 -0.49103900   -2.13610400    0.09348700
 H                  1.46811100   -1.31576800    1.35957300
 H                  2.00620300   -2.15167900   -0.08803300
 H                  0.06027100    1.29438000   -1.35645200
 H                 -0.49112400    2.13606300    0.09337800
 H                  2.00611300    2.15172800   -0.08814500
 H                  1.46805800    1.31586800    1.35951400
 H                  2.35168600    0.00000600   -1.24937100
 H                  3.24256100    0.00006100    0.26647100
 C                 -0.67999600   -0.00002300    0.17195200
 O                 -1.99222700   -0.00006800   -0.41269000
 B                 -3.11027500    0.00003900    0.32577300
 H                 -3.05469400    0.00017300    1.52556200
 H                 -4.15111300   -0.00000800   -0.26824700
 H                 -0.79078400    0.00000100    1.26199400</t>
    <phoneticPr fontId="1"/>
  </si>
  <si>
    <r>
      <t>MeOBH</t>
    </r>
    <r>
      <rPr>
        <vertAlign val="subscript"/>
        <sz val="10"/>
        <color theme="1" tint="0.499984740745262"/>
        <rFont val="Arial"/>
        <family val="2"/>
      </rPr>
      <t>2</t>
    </r>
    <phoneticPr fontId="1"/>
  </si>
  <si>
    <t>0 1
 O                 -0.14776300   -0.49545100    0.00002800
 B                 -1.28058800    0.22485800    0.00001000
 H                 -1.24337200    1.42522200   -0.00005800
 H                 -2.30902000   -0.38909600    0.00005100
 C                  1.12759000    0.14933600   -0.00002400
 H                  1.24060600    0.76740700    0.89173700
 H                  1.89073300   -0.62759600   -0.00002900
 H                  1.24055700    0.76736600   -0.89182500</t>
    <phoneticPr fontId="1"/>
  </si>
  <si>
    <r>
      <t>06_MeOBH</t>
    </r>
    <r>
      <rPr>
        <b/>
        <vertAlign val="subscript"/>
        <sz val="10"/>
        <rFont val="Arial"/>
        <family val="2"/>
      </rPr>
      <t>3</t>
    </r>
    <r>
      <rPr>
        <b/>
        <vertAlign val="superscript"/>
        <sz val="10"/>
        <rFont val="Arial"/>
        <family val="2"/>
      </rPr>
      <t>-</t>
    </r>
    <r>
      <rPr>
        <b/>
        <sz val="10"/>
        <rFont val="Arial"/>
        <family val="2"/>
      </rPr>
      <t xml:space="preserve"> methanolysis</t>
    </r>
    <phoneticPr fontId="1"/>
  </si>
  <si>
    <r>
      <t>MeOH</t>
    </r>
    <r>
      <rPr>
        <vertAlign val="subscript"/>
        <sz val="10"/>
        <color theme="1" tint="0.499984740745262"/>
        <rFont val="Arial"/>
        <family val="2"/>
      </rPr>
      <t>2</t>
    </r>
    <r>
      <rPr>
        <sz val="10"/>
        <color theme="1" tint="0.499984740745262"/>
        <rFont val="游ゴシック"/>
        <family val="2"/>
        <charset val="128"/>
      </rPr>
      <t>・</t>
    </r>
    <r>
      <rPr>
        <sz val="10"/>
        <color theme="1" tint="0.499984740745262"/>
        <rFont val="Arial"/>
        <family val="2"/>
      </rPr>
      <t>MeOBH</t>
    </r>
    <r>
      <rPr>
        <vertAlign val="subscript"/>
        <sz val="10"/>
        <color theme="1" tint="0.499984740745262"/>
        <rFont val="Arial"/>
        <family val="2"/>
      </rPr>
      <t>3</t>
    </r>
    <phoneticPr fontId="1"/>
  </si>
  <si>
    <t>0 1
 B                 -0.94612900    1.31122500    0.26468600
 H                 -0.33005100    2.17095100   -0.34991100
 H                 -1.96321600    1.76801900    0.78989400
 O                 -1.20744900    0.16805800   -0.61440900
 H                  0.68843800    0.20767200    0.87387600
 H                 -0.24264600    0.97033100    1.27400300
 O                  1.46431000   -0.44791000    0.63813900
 C                  2.27053900    0.05663000   -0.46991900
 H                  2.60909800    1.04214800   -0.16666100
 H                  3.10625500   -0.62660300   -0.58451600
 H                  1.65975800    0.10312400   -1.36784900
 C                 -1.88626000   -0.89752100   -0.00981600
 H                 -2.01847600   -1.70323900   -0.73729600
 H                 -1.32884900   -1.30042600    0.84972400
 H                 -2.87835300   -0.59493700    0.35482900
 H                  1.06812500   -1.30900100    0.42904500</t>
    <phoneticPr fontId="1"/>
  </si>
  <si>
    <r>
      <t>[MeOH</t>
    </r>
    <r>
      <rPr>
        <vertAlign val="subscript"/>
        <sz val="10"/>
        <color theme="1" tint="0.499984740745262"/>
        <rFont val="Arial"/>
        <family val="2"/>
      </rPr>
      <t>2</t>
    </r>
    <r>
      <rPr>
        <sz val="10"/>
        <color theme="1" tint="0.499984740745262"/>
        <rFont val="游ゴシック"/>
        <family val="2"/>
        <charset val="128"/>
      </rPr>
      <t>・</t>
    </r>
    <r>
      <rPr>
        <sz val="10"/>
        <color theme="1" tint="0.499984740745262"/>
        <rFont val="Arial"/>
        <family val="2"/>
      </rPr>
      <t>MeOBH3]</t>
    </r>
    <r>
      <rPr>
        <vertAlign val="superscript"/>
        <sz val="10"/>
        <color theme="1" tint="0.499984740745262"/>
        <rFont val="游ゴシック"/>
        <family val="3"/>
        <charset val="128"/>
      </rPr>
      <t>‡</t>
    </r>
    <phoneticPr fontId="1"/>
  </si>
  <si>
    <t>0 1
 B                 -0.80789100    1.26014500    0.24755000
 H                 -0.07451600    2.03428800   -0.33367000
 H                 -1.70740800    1.80831300    0.87059500
 O                 -1.22025500    0.17576900   -0.60821000
 H                  0.56794500    0.25971100    0.90565300
 H                 -0.15162400    0.81511100    1.31235100
 O                  1.48338600   -0.49620300    0.61553800
 C                  2.29764300    0.02354300   -0.45655700
 H                  2.63273500    1.00774900   -0.14043000
 H                  3.15051500   -0.63856900   -0.59107100
 H                  1.71402300    0.09513200   -1.37305100
 C                 -2.04442300   -0.78929200   -0.00591700
 H                 -2.29439000   -1.55612900   -0.74302900
 H                 -1.54038300   -1.27662300    0.84094400
 H                 -2.97732800   -0.34755600    0.36856800
 H                  1.09552600   -1.34419200    0.36161600</t>
    <phoneticPr fontId="1"/>
  </si>
  <si>
    <r>
      <t>MeOH</t>
    </r>
    <r>
      <rPr>
        <sz val="10"/>
        <color theme="1" tint="0.499984740745262"/>
        <rFont val="游ゴシック"/>
        <family val="2"/>
        <charset val="128"/>
      </rPr>
      <t>・</t>
    </r>
    <r>
      <rPr>
        <sz val="10"/>
        <color theme="1" tint="0.499984740745262"/>
        <rFont val="Arial"/>
        <family val="2"/>
      </rPr>
      <t>MeOBH</t>
    </r>
    <r>
      <rPr>
        <vertAlign val="subscript"/>
        <sz val="10"/>
        <color theme="1" tint="0.499984740745262"/>
        <rFont val="Arial"/>
        <family val="2"/>
      </rPr>
      <t>2</t>
    </r>
    <phoneticPr fontId="1"/>
  </si>
  <si>
    <t>0 1
 B                 -0.14304300    1.03356200    0.33923300
 H                 -0.15794500    0.73932200    1.52296100
 H                 -0.00875600    2.21863000    0.10262400
 O                  1.30826600    0.46328300   -0.20761100
 H                  2.02009900    1.03781000    0.09912400
 C                  1.64588700   -0.91573300    0.03458700
 H                  2.66569400   -1.08420000   -0.30461100
 H                  1.54882900   -1.14371100    1.09653800
 H                  0.95729400   -1.51849200   -0.55110900
 O                 -1.15673900    0.41763200   -0.44270900
 C                 -1.86536900   -0.67515300    0.10194000
 H                 -2.46272300   -0.36852100    0.96774400
 H                 -2.54203700   -1.06375400   -0.66227400
 H                 -1.20056800   -1.48689400    0.41623400</t>
    <phoneticPr fontId="1"/>
  </si>
  <si>
    <r>
      <t>(MeO)</t>
    </r>
    <r>
      <rPr>
        <vertAlign val="subscript"/>
        <sz val="10"/>
        <color theme="1" tint="0.499984740745262"/>
        <rFont val="Arial"/>
        <family val="2"/>
      </rPr>
      <t>2</t>
    </r>
    <r>
      <rPr>
        <sz val="10"/>
        <color theme="1" tint="0.499984740745262"/>
        <rFont val="Arial"/>
        <family val="2"/>
      </rPr>
      <t>BH</t>
    </r>
    <r>
      <rPr>
        <vertAlign val="subscript"/>
        <sz val="10"/>
        <color theme="1" tint="0.499984740745262"/>
        <rFont val="Arial"/>
        <family val="2"/>
      </rPr>
      <t>2</t>
    </r>
    <r>
      <rPr>
        <vertAlign val="superscript"/>
        <sz val="10"/>
        <color theme="1" tint="0.499984740745262"/>
        <rFont val="Arial"/>
        <family val="2"/>
      </rPr>
      <t>-</t>
    </r>
    <phoneticPr fontId="1"/>
  </si>
  <si>
    <t>-1 1
 C                 -2.40531300    0.15765200   -0.00001100
 O                 -1.17366800   -0.50353300    0.00001200
 H                 -3.21272800   -0.58028100    0.00004900
 H                 -2.52986000    0.79703700   -0.88700600
 H                 -2.52983400    0.79715100    0.88690400
 H                  0.00000700    1.12262600    1.01592000
 H                 -0.00001000    1.12265600   -1.01587000
 B                  0.00000100    0.37831900    0.00001500
 O                  1.17366800   -0.50353000   -0.00000600
 C                  2.40531300    0.15765100   -0.00000600
 H                  2.52983800    0.79711600    0.88693400
 H                  3.21272700   -0.58028500    0.00002500
 H                  2.52986300    0.79707000   -0.88697600</t>
    <phoneticPr fontId="1"/>
  </si>
  <si>
    <r>
      <t>Na((MeO)</t>
    </r>
    <r>
      <rPr>
        <vertAlign val="subscript"/>
        <sz val="10"/>
        <color theme="1" tint="0.499984740745262"/>
        <rFont val="Arial"/>
        <family val="2"/>
      </rPr>
      <t>2</t>
    </r>
    <r>
      <rPr>
        <sz val="10"/>
        <color theme="1" tint="0.499984740745262"/>
        <rFont val="Arial"/>
        <family val="2"/>
      </rPr>
      <t>BH</t>
    </r>
    <r>
      <rPr>
        <vertAlign val="subscript"/>
        <sz val="10"/>
        <color theme="1" tint="0.499984740745262"/>
        <rFont val="Arial"/>
        <family val="2"/>
      </rPr>
      <t>2</t>
    </r>
    <r>
      <rPr>
        <sz val="10"/>
        <color theme="1" tint="0.499984740745262"/>
        <rFont val="Arial"/>
        <family val="2"/>
      </rPr>
      <t>)(MeOH)</t>
    </r>
    <r>
      <rPr>
        <vertAlign val="subscript"/>
        <sz val="10"/>
        <color theme="1" tint="0.499984740745262"/>
        <rFont val="Arial"/>
        <family val="2"/>
      </rPr>
      <t>4</t>
    </r>
    <phoneticPr fontId="1"/>
  </si>
  <si>
    <t>0 1
 Na                 0.27494800    0.20005000   -0.28537700
 C                 -1.39015600   -2.85653200   -0.11233100
 O                 -1.36834600   -1.45914000   -0.10384100
 H                 -0.52614100   -3.23670100    0.43833300
 H                 -1.35134200   -3.25788100   -1.13485000
 H                 -2.29683400   -3.25338000    0.36598900
 C                  2.38764700    2.56836200   -0.07366000
 O                  1.47058300    2.08528600   -1.04762200
 H                  1.83008000    2.71399400    0.85103600
 H                  2.81803100    3.52600900   -0.37838700
 H                  3.19462200    1.85271300    0.10625700
 H                  1.93659700    1.96825000   -1.87946800
 C                 -1.40681300    0.85980300    2.57854200
 O                 -1.08507900    1.65005800    1.44793500
 H                 -0.71161000    1.11713100    3.37894300
 H                 -1.31441600   -0.20985100    2.36451000
 H                 -2.42520900    1.05754700    2.92930300
 H                 -1.64897200    1.36252900    0.70021600
 C                  1.48008400   -1.64030400    1.98352600
 O                  1.64562400   -0.28252200    1.59899900
 H                  0.47194500   -1.82857800    2.36259800
 H                  2.20998700   -1.92873500    2.74491100
 H                  1.64218100   -2.24903400    1.09407200
 H                  1.47649300    0.27781600    2.36051200
 C                  3.00144900   -1.12277600   -1.44368400
 O                  1.59788800   -1.30064100   -1.58066000
 H                  3.32075100   -1.23032000   -0.40332700
 H                  3.23392000   -0.11322300   -1.78133100
 H                  3.55276500   -1.83520900   -2.06327300
 H                  1.37194400   -2.19716900   -1.31790100
 H                 -3.56042300   -0.94545200   -0.17611500
 H                 -2.62527600   -1.24313100   -1.95394400
 B                 -2.48713700   -0.79881100   -0.79708800
 O                 -2.09220100    0.63031200   -0.83784100
 C                 -2.92171200    1.47662300   -1.58647400
 H                 -3.95326800    1.46812300   -1.21016000
 H                 -2.54105500    2.49861100   -1.52132200
 H                 -2.94426600    1.18155900   -2.64328400</t>
    <phoneticPr fontId="1"/>
  </si>
  <si>
    <r>
      <t>07_Na(MeOBH</t>
    </r>
    <r>
      <rPr>
        <b/>
        <vertAlign val="subscript"/>
        <sz val="10"/>
        <color theme="1"/>
        <rFont val="Arial"/>
        <family val="2"/>
      </rPr>
      <t>3</t>
    </r>
    <r>
      <rPr>
        <b/>
        <sz val="10"/>
        <color theme="1"/>
        <rFont val="Arial"/>
        <family val="2"/>
      </rPr>
      <t>) reduction</t>
    </r>
    <phoneticPr fontId="1"/>
  </si>
  <si>
    <r>
      <t>Na(MeOBH</t>
    </r>
    <r>
      <rPr>
        <vertAlign val="subscript"/>
        <sz val="10"/>
        <rFont val="Arial"/>
        <family val="2"/>
      </rPr>
      <t>3</t>
    </r>
    <r>
      <rPr>
        <sz val="10"/>
        <rFont val="Arial"/>
        <family val="2"/>
      </rPr>
      <t>)(</t>
    </r>
    <r>
      <rPr>
        <i/>
        <sz val="10"/>
        <rFont val="Arial"/>
        <family val="2"/>
      </rPr>
      <t>eq</t>
    </r>
    <r>
      <rPr>
        <sz val="10"/>
        <rFont val="Arial"/>
        <family val="2"/>
      </rPr>
      <t>-CyO)(MeOH)</t>
    </r>
    <r>
      <rPr>
        <vertAlign val="subscript"/>
        <sz val="10"/>
        <rFont val="Arial"/>
        <family val="2"/>
      </rPr>
      <t>4</t>
    </r>
    <phoneticPr fontId="1"/>
  </si>
  <si>
    <t>0 1
 H                 -0.56652900   -1.58783900    1.14343400
 B                  0.30123700   -0.91261100    1.71139300
 Na                 1.93409000    0.44544900   -0.28864900
 H                  0.21798800   -1.11324500    2.93179600
 C                  2.02946900   -2.58654200    1.32085800
 H                  2.09514600   -2.88993400    2.37605500
 H                  1.30842200   -3.25624600    0.82973700
 H                  3.00907600   -2.74302900    0.86025900
 O                 -1.31569100    0.95569700   -1.38065100
 O                  0.87022000   -0.55594000   -2.15963700
 H                  0.00933500   -0.10821000   -2.12479500
 C                  0.65134800   -1.94991600   -1.99182400
 H                  1.62572500   -2.43018600   -1.90078700
 H                  0.07110500   -2.15678500   -1.08860500
 H                  0.13237600   -2.37435200   -2.85651900
 O                  0.78270800    2.49690100   -0.47926000
 C                  0.64324200    3.28969500    0.68903900
 H                  0.32074600    2.69046800    1.54611700
 H                  1.61820100    3.72326400    0.91299600
 H                 -0.07179500    4.10260600    0.53335400
 H                  0.09835300    0.28015000    1.47463300
 H                 -0.08688000    2.13337000   -0.72523700
 O                  4.21703300    0.85257700   -0.03545400
 C                  4.92070600   -0.32627300    0.34269600
 H                  4.63211900   -1.11327600   -0.35340900
 H                  6.00137800   -0.17721500    0.27398700
 H                  4.66271900   -0.63550100    1.35870700
 O                  1.65831800   -1.24633800    1.19479100
 H                  4.46750100    1.56453600    0.55880700
 C                 -2.29725600    0.56883700   -0.76053000
 C                 -2.81819300    1.33187800    0.41864500
 C                 -3.06873700   -0.63568800   -1.20633000
 C                 -3.32813600    0.42876000    1.54411600
 H                 -3.65498800    1.92585800    0.02868600
 H                 -2.05105800    2.02785600    0.75960500
 C                 -3.59395100   -1.49077500   -0.05047700
 H                 -3.92073500   -0.23073300   -1.76815500
 H                 -2.45954100   -1.21031200   -1.90494100
 C                 -4.27563600   -0.64095500    1.01497400
 H                 -3.82286700    1.04681900    2.29519600
 H                 -2.47524300   -0.05061000    2.03260700
 H                 -4.28294900   -2.23730300   -0.44917400
 H                 -2.75815100   -2.03197700    0.40082900
 H                 -4.61167000   -1.27757000    1.83610900
 H                 -5.16679300   -0.16480900    0.59156400</t>
    <phoneticPr fontId="1"/>
  </si>
  <si>
    <r>
      <t>[Na(MeOBH</t>
    </r>
    <r>
      <rPr>
        <vertAlign val="subscript"/>
        <sz val="10"/>
        <rFont val="Arial"/>
        <family val="2"/>
      </rPr>
      <t>3</t>
    </r>
    <r>
      <rPr>
        <sz val="10"/>
        <rFont val="Arial"/>
        <family val="2"/>
      </rPr>
      <t>)(</t>
    </r>
    <r>
      <rPr>
        <i/>
        <sz val="10"/>
        <rFont val="Arial"/>
        <family val="2"/>
      </rPr>
      <t>eq</t>
    </r>
    <r>
      <rPr>
        <sz val="10"/>
        <rFont val="Arial"/>
        <family val="2"/>
      </rPr>
      <t>-CyO)(MeOH)</t>
    </r>
    <r>
      <rPr>
        <vertAlign val="subscript"/>
        <sz val="10"/>
        <rFont val="Arial"/>
        <family val="2"/>
      </rPr>
      <t>4</t>
    </r>
    <r>
      <rPr>
        <sz val="10"/>
        <rFont val="Arial"/>
        <family val="2"/>
      </rPr>
      <t>]</t>
    </r>
    <r>
      <rPr>
        <vertAlign val="superscript"/>
        <sz val="10"/>
        <rFont val="游ゴシック"/>
        <family val="3"/>
        <charset val="128"/>
      </rPr>
      <t>‡</t>
    </r>
    <phoneticPr fontId="1"/>
  </si>
  <si>
    <t>0 1
 H                  1.19807400   -0.12660800   -0.80717500
 B                  0.30345700   -0.11066700   -1.74040000
 Na                -1.98423000    0.71049400   -0.08590200
 H                  0.86921100   -0.56632700   -2.72599800
 C                 -0.71278700   -2.27845500   -1.33926100
 H                 -0.51299800   -2.62656500   -2.36027900
 H                  0.10596200   -2.62472700   -0.69769500
 H                 -1.64090100   -2.73746800   -0.99283700
 O                  0.78359400    0.82528900    1.23631000
 O                 -1.51286100   -0.24956900    2.05190800
 H                 -0.57657600    0.00082300    1.88547400
 C                 -1.58736900   -1.64867700    2.25520700
 H                 -2.62294400   -1.90123900    2.48552900
 H                 -1.28227900   -2.20612100    1.36454400
 H                 -0.96090700   -1.96223400    3.09630200
 O                 -0.90271500    2.74113500    0.48285400
 C                 -0.52064400    3.75772400   -0.42587700
 H                 -0.09736800    3.34047800   -1.34511200
 H                 -1.41271300    4.32986900   -0.68316600
 H                  0.21049900    4.43706000    0.02302300
 H                  0.01092500    1.07256800   -1.82707200
 H                 -0.11190700    2.21860000    0.74051100
 O                 -4.16770600    0.12719700   -0.59835800
 C                 -4.27857900   -1.28469400   -0.74614900
 H                 -3.72212300   -1.74115900    0.07245500
 H                 -5.32144100   -1.60572800   -0.68222700
 H                 -3.85517600   -1.61966000   -1.69630900
 O                 -0.84605700   -0.87962400   -1.30132300
 H                 -4.63593600    0.55169900   -1.32133900
 C                  1.72514400    0.28530400    0.58682400
 C                  2.81933400    1.17768100    0.04068400
 C                  2.14324900   -1.11750600    0.97706600
 C                  3.77733400    0.47612800   -0.91590200
 H                  3.36830300    1.52190600    0.92636400
 H                  2.35990300    2.05795800   -0.41341300
 C                  3.10948600   -1.77632700    0.00054800
 H                  2.63038800   -1.00080100    1.95359900
 H                  1.24625700   -1.71862800    1.13756800
 C                  4.27222600   -0.85013700   -0.34540100
 H                  4.62090800    1.13634400   -1.12868100
 H                  3.26988900    0.29332900   -1.86739300
 H                  3.48067300   -2.70793700    0.43317000
 H                  2.57317500   -2.04235300   -0.91526400
 H                  4.93645200   -1.33815200   -1.06240200
 H                  4.86350200   -0.65869800    0.55718600</t>
    <phoneticPr fontId="1"/>
  </si>
  <si>
    <t>NBO charge (H:-0.195, C:0.374)</t>
    <phoneticPr fontId="1"/>
  </si>
  <si>
    <r>
      <t>[Na(MeOBH</t>
    </r>
    <r>
      <rPr>
        <vertAlign val="subscript"/>
        <sz val="10"/>
        <rFont val="Arial"/>
        <family val="2"/>
      </rPr>
      <t>3</t>
    </r>
    <r>
      <rPr>
        <sz val="10"/>
        <rFont val="Arial"/>
        <family val="2"/>
      </rPr>
      <t>)(</t>
    </r>
    <r>
      <rPr>
        <i/>
        <sz val="10"/>
        <rFont val="Arial"/>
        <family val="2"/>
      </rPr>
      <t>ax</t>
    </r>
    <r>
      <rPr>
        <sz val="10"/>
        <rFont val="Arial"/>
        <family val="2"/>
      </rPr>
      <t>-CyO)(MeOH)</t>
    </r>
    <r>
      <rPr>
        <vertAlign val="subscript"/>
        <sz val="10"/>
        <rFont val="Arial"/>
        <family val="2"/>
      </rPr>
      <t>4</t>
    </r>
    <r>
      <rPr>
        <sz val="10"/>
        <rFont val="Arial"/>
        <family val="2"/>
      </rPr>
      <t>]</t>
    </r>
    <r>
      <rPr>
        <vertAlign val="superscript"/>
        <sz val="10"/>
        <rFont val="游ゴシック"/>
        <family val="3"/>
        <charset val="128"/>
      </rPr>
      <t>‡</t>
    </r>
    <phoneticPr fontId="1"/>
  </si>
  <si>
    <t>0 1
 H                 -0.58824600   -0.00656500    1.01634100
 B                  0.24847100    0.12366300    1.99632300
 Na                 2.07434000    0.62768700   -0.27779700
 H                 -0.34345400   -0.37491000    2.94762900
 C                  1.41894200   -1.95152700    1.57131800
 H                  1.23888700   -2.38254600    2.56405700
 H                  0.61357000   -2.28455700    0.90667600
 H                  2.36600900   -2.34023800    1.19049000
 O                 -1.24649800    0.40232600   -1.09774200
 O                  1.04477100   -0.80016400   -1.79408200
 H                  0.11246200   -0.52942000   -1.64928900
 C                  1.10526100   -2.17927600   -2.10160200
 H                  2.15584200   -2.46178700   -2.17690800
 H                  0.63608900   -2.79034100   -1.32483900
 H                  0.61800300   -2.39447400   -3.05793600
 O                  0.60743900    2.33367200   -0.93141100
 C                  0.30150000    3.50144800   -0.19023200
 H                  0.02308700    3.26424300    0.84102600
 H                  1.19208000    4.13072800   -0.17341600
 H                 -0.51249600    4.06426500   -0.65701900
 H                  0.43145200    1.32632300    2.08964600
 H                 -0.19828500    1.77728500   -1.00492500
 O                  4.39047500    0.54255400   -0.12181700
 C                  4.84642000   -0.64327400    0.52194100
 H                  4.35472800   -1.48517900    0.03554400
 H                  5.92762700   -0.75825400    0.41182500
 H                  4.58932500   -0.64414400    1.58426400
 O                  1.48652900   -0.54751100    1.63446300
 H                  4.84398400    1.29624500    0.26368600
 C                 -1.75295300    0.03583600    0.00411900
 C                 -2.18643200   -1.40759700    0.15268500
 C                 -2.62422000    1.01423300    0.75999400
 C                 -3.61606600   -1.52392000   -0.39590700
 H                 -2.17512700   -1.69471600    1.20562800
 H                 -1.49750400   -2.05252300   -0.39486300
 C                 -4.05309700    0.88919800    0.21141400
 H                 -2.62023700    0.77174800    1.82466700
 H                 -2.23594700    2.02527200    0.62908700
 C                 -4.55686400   -0.54911500    0.30865200
 H                 -3.96582000   -2.55094400   -0.27212800
 H                 -3.60758000   -1.31494200   -1.47032700
 H                 -4.71072000    1.56336400    0.76402300
 H                 -4.06631800    1.21306500   -0.83408600
 H                 -5.55955500   -0.62318200   -0.11883000
 H                 -4.63861200   -0.82973500    1.36455000</t>
    <phoneticPr fontId="1"/>
  </si>
  <si>
    <r>
      <t>Ph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CO</t>
    </r>
    <phoneticPr fontId="1"/>
  </si>
  <si>
    <t>0 1
 C                  0.00000000    1.11186000    0.00000100
 O                  0.00000000    2.33196600    0.00000700
 C                  1.28868600    0.36502000   -0.03476600
 C                  2.40925400    0.93452500    0.56832100
 C                  1.41063700   -0.85347600   -0.69941500
 C                  3.63040400    0.28528300    0.52297100
 H                  2.31294300    1.88225000    1.08331600
 C                  2.64014300   -1.49040100   -0.76304200
 H                  0.55120800   -1.29598900   -1.18657700
 C                  3.74754700   -0.92650200   -0.14633400
 H                  4.49371400    0.72435300    1.00731000
 H                  2.73259500   -2.42955200   -1.29401200
 H                  4.70510700   -1.43122300   -0.18768900
 C                 -1.28868500    0.36502000    0.03476500
 C                 -2.40925100    0.93452100   -0.56833100
 C                 -1.41064000   -0.85347200    0.69942100
 C                 -3.63040100    0.28528100   -0.52298100
 H                 -2.31293600    1.88224200   -1.08333200
 C                 -2.64014700   -1.49039500    0.76304900
 H                 -0.55121300   -1.29598300    1.18659000
 C                 -3.74754800   -0.92649900    0.14633200
 H                 -4.49370900    0.72434800   -1.00732600
 H                 -2.73260200   -2.42954200    1.29402500
 H                 -4.70510900   -1.43121800    0.18768800</t>
    <phoneticPr fontId="1"/>
  </si>
  <si>
    <r>
      <t>[Na(MeOBH</t>
    </r>
    <r>
      <rPr>
        <vertAlign val="subscript"/>
        <sz val="10"/>
        <rFont val="Arial"/>
        <family val="2"/>
      </rPr>
      <t>3</t>
    </r>
    <r>
      <rPr>
        <sz val="10"/>
        <rFont val="Arial"/>
        <family val="2"/>
      </rPr>
      <t>)(Ph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CO)(MeOH)</t>
    </r>
    <r>
      <rPr>
        <vertAlign val="subscript"/>
        <sz val="10"/>
        <rFont val="Arial"/>
        <family val="2"/>
      </rPr>
      <t>3</t>
    </r>
    <r>
      <rPr>
        <sz val="10"/>
        <rFont val="Arial"/>
        <family val="2"/>
      </rPr>
      <t>]</t>
    </r>
    <r>
      <rPr>
        <vertAlign val="superscript"/>
        <sz val="10"/>
        <rFont val="游ゴシック"/>
        <family val="3"/>
        <charset val="128"/>
      </rPr>
      <t>‡</t>
    </r>
    <phoneticPr fontId="1"/>
  </si>
  <si>
    <t>0 1
 C                 -1.14174300    0.06890500   -0.31603200
 H                 -0.74768400    0.41321900    1.13986200
 B                  0.11789300    0.80041200    2.03567100
 Na                 2.12761200    0.56877100   -0.33703100
 H                 -0.43045400    0.52604100    3.09586000
 C                  1.41796700   -1.24625200    2.19257700
 H                  1.17254500   -1.36320100    3.25494600
 H                  0.71898100   -1.85939100    1.61295100
 H                  2.43028100   -1.62090200    2.02578600
 O                 -0.12030600    0.21446600   -1.03684800
 O                  1.96938200   -1.24307900   -2.00534400
 H                  1.04537300   -0.99506000   -1.82797400
 C                  2.22101000   -2.50871900   -1.41651700
 H                  3.29519200   -2.69010800   -1.46305800
 H                  1.90810500   -2.53684900   -0.36853400
 H                  1.70758400   -3.30952500   -1.95760700
 O                  2.30834900    2.90379900   -0.02711000
 C                  3.23859800    3.12241700    1.02839900
 H                  2.99251400    2.51881600    1.90700400
 H                  4.22135700    2.83113200    0.65925700
 H                  3.26814000    4.17656900    1.31517100
 H                  0.23372800    1.99337700    1.80404300
 H                  1.43780400    3.17593700    0.27953200
 O                  4.27004400   -0.19077400    0.14986200
 C                  5.23430100   -0.27687100   -0.89038200
 H                  5.97959100   -1.04759400   -0.67633600
 H                  4.70405200   -0.54447900   -1.80379300
 H                  5.74099500    0.67989500   -1.04400200
 O                  1.36418500    0.10805100    1.80668600
 H                  4.70667000    0.08307900    0.95997900
 C                 -2.19490500    1.15256100   -0.37541900
 C                 -3.55523700    0.87811200   -0.29632000
 C                 -1.77984400    2.46949100   -0.56663000
 C                 -4.48577400    1.90424200   -0.40449500
 H                 -3.90182600   -0.13821200   -0.16356200
 C                 -2.70576400    3.49223200   -0.66560000
 H                 -0.72118600    2.68680200   -0.63299400
 C                 -4.06521600    3.21173900   -0.58453500
 H                 -5.54312600    1.67535500   -0.34917400
 H                 -2.36923400    4.51225600   -0.80652600
 H                 -4.79138300    4.01157400   -0.66468400
 C                 -1.59465700   -1.34242300   -0.00564200
 C                 -2.22804800   -1.68464300    1.18556500
 C                 -1.37422200   -2.32766000   -0.96048700
 C                 -2.61917900   -2.99084700    1.42327800
 H                 -2.39380200   -0.92587700    1.94043300
 C                 -1.76693600   -3.63836000   -0.72438200
 H                 -0.90067300   -2.07063700   -1.89966400
 C                 -2.38631900   -3.97409000    0.46891400
 H                 -3.10019600   -3.24576200    2.35975200
 H                 -1.58684900   -4.39623800   -1.47714700
 H                 -2.68711800   -4.99747100    0.65774300</t>
    <phoneticPr fontId="1"/>
  </si>
  <si>
    <t>PhMeCO</t>
    <phoneticPr fontId="1"/>
  </si>
  <si>
    <t>0 1
 C                 -1.33835200   -0.17941400    0.00000000
 C                 -1.67420800   -1.52126200    0.00000000
 C                 -0.67496600   -2.48675800    0.00000000
 C                  0.65875300   -2.10560400    0.00000000
 C                  0.99619100   -0.76113800    0.00000000
 C                  0.00000000    0.21404200    0.00000000
 C                  0.32866100    1.67024000    0.00000000
 O                 -0.56087600    2.50372300    0.00000000
 C                  1.76815900    2.09011100    0.00000000
 H                 -2.11375600    0.57592900    0.00000000
 H                 -2.71575600   -1.81774400    0.00000000
 H                 -0.93757700   -3.53772600    0.00000000
 H                  1.43908000   -2.85644000    0.00000000
 H                  2.04095000   -0.47951600    0.00000000
 H                  2.27920600    1.69404700    0.88018800
 H                  1.83023000    3.17631500    0.00000000
 H                  2.27920600    1.69404700   -0.88018800</t>
    <phoneticPr fontId="1"/>
  </si>
  <si>
    <r>
      <t>[Na(MeOBH</t>
    </r>
    <r>
      <rPr>
        <vertAlign val="subscript"/>
        <sz val="10"/>
        <color theme="6"/>
        <rFont val="Arial"/>
        <family val="2"/>
      </rPr>
      <t>3</t>
    </r>
    <r>
      <rPr>
        <sz val="10"/>
        <color theme="6"/>
        <rFont val="Arial"/>
        <family val="2"/>
      </rPr>
      <t>)(PhMeCO)(MeOH)</t>
    </r>
    <r>
      <rPr>
        <vertAlign val="subscript"/>
        <sz val="10"/>
        <color theme="6"/>
        <rFont val="Arial"/>
        <family val="2"/>
      </rPr>
      <t>3</t>
    </r>
    <r>
      <rPr>
        <sz val="10"/>
        <color theme="6"/>
        <rFont val="Arial"/>
        <family val="2"/>
      </rPr>
      <t>]</t>
    </r>
    <r>
      <rPr>
        <vertAlign val="superscript"/>
        <sz val="10"/>
        <color theme="6"/>
        <rFont val="游ゴシック"/>
        <family val="3"/>
        <charset val="128"/>
      </rPr>
      <t>‡</t>
    </r>
    <phoneticPr fontId="1"/>
  </si>
  <si>
    <t>0 1
 C                  0.94783400    1.73642100   -0.20430200
 H                  0.40255400    1.39243600    1.10516800
 B                 -0.46661500    0.85374600    1.93716300
 Na                -1.14191900   -0.44105000   -0.70452900
 H                 -0.36011600    1.55844000    2.92836400
 C                 -2.41384200    2.12196600    1.19526200
 H                 -2.55572600    2.56855200    2.18591600
 H                 -1.84561600    2.82354500    0.57674300
 H                 -3.39274200    1.96575300    0.73794700
 O                  0.06461600    1.51915400   -1.08367800
 O                 -2.91983300    0.51454800   -1.93279300
 H                 -2.81522100    1.46351100   -1.82050000
 C                 -4.26698300    0.16564300   -1.64308500
 H                 -4.36857100   -0.90544000   -1.81262800
 H                 -4.52389100    0.38447300   -0.60301700
 H                 -4.96082500    0.69427700   -2.30230700
 O                  0.24767100   -2.32952200   -1.00745200
 C                  0.94018200   -2.74133800    0.16730100
 H                  1.50837600   -1.91691800    0.60594600
 H                  0.19133000   -3.07660400    0.88323300
 H                  1.61728800   -3.57155300   -0.04789400
 H                 -0.06367300   -0.29052700    2.04324900
 H                  0.89827300   -2.14450500   -1.69055300
 O                 -2.74753400   -1.59070800    0.79405100
 C                 -2.52925900   -2.61034000    1.75350300
 H                 -3.35852000   -2.66892500    2.46593100
 H                 -2.45988200   -3.56013600    1.22267400
 H                 -1.60123500   -2.44764000    2.30934300
 O                 -1.75599700    0.87891400    1.29369300
 H                 -2.63680800   -0.72437900    1.22418700
 C                  1.26411800    3.17871000    0.15248500
 H                  1.85035200    3.60316400   -0.66856700
 H                  0.33902500    3.74560000    0.25419800
 H                  1.84450700    3.26356600    1.07072400
 C                  2.13398600    0.78936300   -0.14522100
 C                  2.89344500    0.62191000    1.00899300
 C                  2.48635000    0.09012300   -1.29262800
 C                  3.97849300   -0.23891500    1.01819000
 H                  2.61829800    1.15185400    1.91388200
 C                  3.57575500   -0.77120700   -1.28730900
 H                  1.90030800    0.22123900   -2.19382700
 C                  4.32221300   -0.94030300   -0.13144300
 H                  4.55393700   -0.37033200    1.92660000
 H                  3.83903900   -1.31153500   -2.18880900
 H                  5.16860200   -1.61637900   -0.12304700</t>
    <phoneticPr fontId="1"/>
  </si>
  <si>
    <r>
      <t>4-NO</t>
    </r>
    <r>
      <rPr>
        <vertAlign val="subscript"/>
        <sz val="10"/>
        <color theme="6"/>
        <rFont val="Arial"/>
        <family val="2"/>
      </rPr>
      <t>2</t>
    </r>
    <r>
      <rPr>
        <sz val="10"/>
        <color theme="6"/>
        <rFont val="Arial"/>
        <family val="2"/>
      </rPr>
      <t>PhMeCO</t>
    </r>
    <phoneticPr fontId="1"/>
  </si>
  <si>
    <t>0 1
 C                 -0.60054800   -1.25883900    0.00000300
 C                  0.77956900   -1.22848600    0.00000600
 C                  1.40892100    0.00487500    0.00000300
 C                  0.70961300    1.19727000   -0.00000500
 C                 -0.67283900    1.14851000   -0.00000700
 C                 -1.33613600   -0.07558700   -0.00000400
 C                 -2.83608800   -0.15809700   -0.00000600
 O                 -3.38004100   -1.24480600   -0.00002700
 C                 -3.62962300    1.11045800    0.00001100
 H                 -1.11692800   -2.20906400    0.00000600
 H                  1.35706400   -2.14124800    0.00001200
 H                  1.23052400    2.14325600   -0.00000800
 H                 -1.22462200    2.07802500   -0.00001300
 H                 -3.38465900    1.70879600    0.88051800
 H                 -4.69174900    0.87597300    0.00001300
 H                 -3.38466800    1.70881400   -0.88048600
 N                  2.87539900    0.04748000    0.00000600
 O                  3.47973300   -1.00540100    0.00001000
 O                  3.41906100    1.13301500    0.00000500</t>
    <phoneticPr fontId="1"/>
  </si>
  <si>
    <r>
      <t>[Na(MeOBH</t>
    </r>
    <r>
      <rPr>
        <vertAlign val="subscript"/>
        <sz val="10"/>
        <color theme="6"/>
        <rFont val="Arial"/>
        <family val="2"/>
      </rPr>
      <t>3</t>
    </r>
    <r>
      <rPr>
        <sz val="10"/>
        <color theme="6"/>
        <rFont val="Arial"/>
        <family val="2"/>
      </rPr>
      <t>)(4-NO</t>
    </r>
    <r>
      <rPr>
        <vertAlign val="subscript"/>
        <sz val="10"/>
        <color theme="6"/>
        <rFont val="Arial"/>
        <family val="2"/>
      </rPr>
      <t>2</t>
    </r>
    <r>
      <rPr>
        <sz val="10"/>
        <color theme="6"/>
        <rFont val="Arial"/>
        <family val="2"/>
      </rPr>
      <t>PhMeCO)(MeOH)</t>
    </r>
    <r>
      <rPr>
        <vertAlign val="subscript"/>
        <sz val="10"/>
        <color theme="6"/>
        <rFont val="Arial"/>
        <family val="2"/>
      </rPr>
      <t>3</t>
    </r>
    <r>
      <rPr>
        <sz val="10"/>
        <color theme="6"/>
        <rFont val="Arial"/>
        <family val="2"/>
      </rPr>
      <t>]</t>
    </r>
    <r>
      <rPr>
        <vertAlign val="superscript"/>
        <sz val="10"/>
        <color theme="6"/>
        <rFont val="游ゴシック"/>
        <family val="3"/>
        <charset val="128"/>
      </rPr>
      <t>‡</t>
    </r>
    <phoneticPr fontId="1"/>
  </si>
  <si>
    <t>0 1
 C                 -0.17947700    2.02474500   -0.28748800
 H                 -0.65373300    1.62073000    1.08453700
 B                 -1.36749100    0.88958300    1.90025100
 Na                -1.79763500   -0.57377300   -0.69899300
 H                 -1.40863400    1.56910800    2.91533500
 C                 -3.53208300    1.73656800    1.16670600
 H                 -3.75962100    2.14971300    2.15612600
 H                 -3.11023300    2.53455600    0.54734600
 H                 -4.46164500    1.39269900    0.70900700
 O                 -0.99242000    1.58371700   -1.13849000
 O                 -3.75158800   -0.01330400   -1.90135300
 H                 -3.84926500    0.93753100   -1.79873500
 C                 -4.97892400   -0.63911400   -1.54987800
 H                 -4.85943100   -1.70772900   -1.72334900
 H                 -5.22500300   -0.47805400   -0.49667600
 H                 -5.80006800   -0.27080300   -2.17058100
 O                 -0.04413200   -2.11604200   -1.03297000
 C                  0.71727500   -2.40420500    0.13585100
 H                  1.06961200   -1.48927300    0.62011900
 H                  0.06450200   -2.93917200    0.82397500
 H                  1.57450100   -3.03865900   -0.10128600
 H                 -0.73354600   -0.14816000    1.98244300
 H                  0.55562200   -1.80459300   -1.71633400
 O                 -3.07211400   -1.99689000    0.86503900
 C                 -2.63947100   -2.91469600    1.85419700
 H                 -3.42264400   -3.09491600    2.59753100
 H                 -2.40909600   -3.85732900    1.35721700
 H                 -1.74260100   -2.55822600    2.36941300
 O                 -2.64440000    0.64672000    1.26839300
 H                 -3.15067300   -1.11386500    1.26746600
 C                 -0.16685400    3.50972700    0.01742000
 H                  0.33224400    4.01308200   -0.81657700
 H                 -1.18910600    3.87866000    0.09052000
 H                  0.37235700    3.74357600    0.93450400
 C                  1.17053800    1.33474400   -0.17661300
 C                  1.92441900    1.36162900    0.99320400
 C                  1.66797800    0.68013000   -1.29673500
 C                  3.14985600    0.72997500    1.05576900
 H                  1.53769700    1.85962800    1.87348800
 C                  2.89541200    0.04266700   -1.25519500
 H                  1.08685000    0.66592200   -2.20914200
 C                  3.61445300    0.07502900   -0.07446400
 H                  3.73141600    0.73571300    1.96601400
 H                  3.28380700   -0.46996600   -2.12323500
 N                  4.90414400   -0.60827300   -0.01387300
 O                  5.28117700   -1.21966600   -0.99476200
 O                  5.54727300   -0.53851700    1.01526900</t>
    <phoneticPr fontId="1"/>
  </si>
  <si>
    <t>4-MeOPhMeCO</t>
    <phoneticPr fontId="1"/>
  </si>
  <si>
    <t>0 1
 O                  3.25504900    1.05263400    0.00000200
 C                  2.58699700    0.02963300   -0.00001000
 C                  3.25850600   -1.31345300   -0.00002200
 H                  2.96214100   -1.88780500    0.88033000
 H                  2.96215700   -1.88778100   -0.88039700
 H                  4.33820300   -1.17895300   -0.00000800
 C                  1.10605700    0.09402800   -0.00001800
 C                  0.31535300   -1.05151500   -0.00003100
 C                  0.46934600    1.34065600   -0.00000400
 C                 -1.06797900   -0.97464400   -0.00002500
 H                  0.77236000   -2.03240100   -0.00004500
 C                 -0.90162200    1.43518600    0.00000100
 H                  1.06766400    2.24282800    0.00000600
 C                 -1.68270700    0.27493000   -0.00000800
 H                 -1.65060100   -1.88468500   -0.00003100
 H                 -1.39547200    2.39890200    0.00001100
 O                 -3.01497800    0.46329900   -0.00000300
 C                 -3.86440500   -0.67542000    0.00008600
 H                 -4.88080800   -0.28818200    0.00012000
 H                 -3.70678900   -1.28293700   -0.89427000
 H                 -3.70669700   -1.28285900    0.89447800</t>
    <phoneticPr fontId="1"/>
  </si>
  <si>
    <r>
      <t>[Na(MeOBH</t>
    </r>
    <r>
      <rPr>
        <vertAlign val="subscript"/>
        <sz val="10"/>
        <color theme="6"/>
        <rFont val="Arial"/>
        <family val="2"/>
      </rPr>
      <t>3</t>
    </r>
    <r>
      <rPr>
        <sz val="10"/>
        <color theme="6"/>
        <rFont val="Arial"/>
        <family val="2"/>
      </rPr>
      <t>)(4-MeOPhMeCO)(MeOH)</t>
    </r>
    <r>
      <rPr>
        <vertAlign val="subscript"/>
        <sz val="10"/>
        <color theme="6"/>
        <rFont val="Arial"/>
        <family val="2"/>
      </rPr>
      <t>3</t>
    </r>
    <r>
      <rPr>
        <sz val="10"/>
        <color theme="6"/>
        <rFont val="Arial"/>
        <family val="2"/>
      </rPr>
      <t>]</t>
    </r>
    <r>
      <rPr>
        <vertAlign val="superscript"/>
        <sz val="10"/>
        <color theme="6"/>
        <rFont val="游ゴシック"/>
        <family val="3"/>
        <charset val="128"/>
      </rPr>
      <t>‡</t>
    </r>
    <phoneticPr fontId="1"/>
  </si>
  <si>
    <t>0 1
 C                 -0.01354000    2.00571800   -0.25014000
 H                 -0.53951100    1.64442100    1.02932000
 B                 -1.32940400    0.98863500    1.87233500
 Na                -1.46021100   -0.61307700   -0.66852200
 H                 -1.42033600    1.77335400    2.80118600
 C                 -3.45205800    1.76557200    0.96293500
 H                 -3.74515200    2.22325800    1.91436600
 H                 -3.00839100    2.53832700    0.32784100
 H                 -4.34588400    1.37833500    0.47042300
 O                 -0.79126100    1.56974100   -1.15534500
 O                 -3.29724700   -0.13303400   -2.08305400
 H                 -3.35205700    0.82332200   -2.00003200
 C                 -4.58066200   -0.68898200   -1.83066300
 H                 -4.50353300   -1.76480200   -1.98272500
 H                 -4.90571400   -0.50107900   -0.80379900
 H                 -5.32648700   -0.28769400   -2.52213200
 O                  0.27154000   -2.23838500   -0.70687400
 C                  0.93708900   -2.36468700    0.54656500
 H                  1.27948500   -1.39477800    0.91658000
 H                  0.22033700   -2.78071500    1.25297500
 H                  1.79068200   -3.04274700    0.47085400
 H                 -0.69702000   -0.03097800    2.07700400
 H                  0.92551700   -2.00259900   -1.37109600
 O                 -2.91916400   -1.95801100    0.78967400
 C                 -2.60306000   -2.84396900    1.84931300
 H                 -3.47752700   -3.03745200    2.47892200
 H                 -2.27580100   -3.78687200    1.41057000
 H                 -1.79950200   -2.44906800    2.47786400
 O                 -2.55257400    0.69954100    1.17472700
 H                 -3.04703800   -1.06430700    1.15357500
 C                 -0.00297100    3.50299000    0.01408900
 H                  0.51890200    3.98582600   -0.81790000
 H                 -1.02547100    3.87835200    0.05366600
 H                  0.51139200    3.75970200    0.93996600
 C                  1.32952700    1.31940200   -0.09251700
 C                  2.07511800    1.39719300    1.08400900
 C                  1.85332200    0.60240400   -1.15486200
 C                  3.29536100    0.76623200    1.19509500
 H                  1.68099200    1.93995600    1.93581700
 C                  3.08514600   -0.03757900   -1.06479100
 H                  1.29197700    0.53545500   -2.07862200
 C                  3.80764100    0.03861100    0.11871600
 H                  3.86524500    0.81428000    2.11500900
 H                  3.46047900   -0.58774600   -1.91622100
 O                  5.00662400   -0.55821500    0.32245100
 C                  5.55859800   -1.33144800   -0.72980900
 H                  6.50169100   -1.72154400   -0.35262100
 H                  4.90234400   -2.16507500   -0.99442000
 H                  5.74930300   -0.71830200   -1.61458600</t>
    <phoneticPr fontId="1"/>
  </si>
  <si>
    <r>
      <t>Na(MeOBH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)(</t>
    </r>
    <r>
      <rPr>
        <i/>
        <sz val="10"/>
        <rFont val="Arial"/>
        <family val="2"/>
      </rPr>
      <t>eq</t>
    </r>
    <r>
      <rPr>
        <sz val="10"/>
        <rFont val="Arial"/>
        <family val="2"/>
      </rPr>
      <t>-CyO)(MeOH)</t>
    </r>
    <r>
      <rPr>
        <vertAlign val="subscript"/>
        <sz val="10"/>
        <rFont val="Arial"/>
        <family val="2"/>
      </rPr>
      <t>4</t>
    </r>
    <phoneticPr fontId="1"/>
  </si>
  <si>
    <t>0 1
 H                 -1.73731600    0.96813900    0.47954900
 B                  2.82278300    1.62434700    1.78713100
 Na                 1.73228600    0.11602200   -0.76911000
 H                  2.75912500    2.25532900    2.80284500
 C                  0.87403200    0.31591700    2.42613300
 H                  0.94260900    0.90699400    3.34044100
 H                 -0.06848000    0.52570200    1.92105400
 H                  0.93119500   -0.74510600    2.66647100
 O                 -0.67295400    0.01066500   -0.99442900
 O                  0.75416500   -2.10436600   -1.26041800
 H                  0.02975600   -1.41497200   -1.14546800
 C                  0.84696200   -2.88636200   -0.08740000
 H                  1.68692800   -3.57429800   -0.19797800
 H                  1.02163500   -2.27241900    0.80513000
 H                 -0.05935900   -3.47836600    0.07945800
 O                  0.57331700    2.18919000   -1.43313900
 C                  0.33532200    3.10649200   -0.38504900
 H                  0.31628800    2.61242100    0.59317500
 H                  1.13709300    3.84781000   -0.37790400
 H                 -0.61694800    3.63273300   -0.51970100
 H                  3.64527900    1.82142300    0.94021800
 H                 -0.06450100    1.40920300   -1.32128000
 O                  3.97857000   -0.35406300   -1.04914500
 C                  4.51636900   -1.18787800   -0.02943800
 H                  3.78877900   -1.97635600    0.16228300
 H                  5.45441600   -1.64702200   -0.35137900
 H                  4.68740200   -0.62883500    0.89454600
 O                  1.94510900    0.63483200    1.53826000
 H                  4.60029800    0.35519200   -1.23007700
 C                 -1.85035100    0.15385700   -0.26393800
 C                 -3.02916000    0.54429600   -1.15880500
 C                 -2.19167600   -1.11397500    0.51974300
 C                 -4.32950200    0.69559600   -0.37320200
 H                 -3.14639500   -0.23346200   -1.92383400
 H                 -2.78582300    1.47456700   -1.68175100
 C                 -3.48689900   -0.97248500    1.31517600
 H                 -2.28483400   -1.94143800   -0.19520200
 H                 -1.35923300   -1.36008300    1.18515100
 C                 -4.65198800   -0.57126300    0.41464100
 H                 -5.15314000    0.94215900   -1.04855900
 H                 -4.23409400    1.53616300    0.32415500
 H                 -3.71393800   -1.90679400    1.83563200
 H                 -3.35214300   -0.20763100    2.08910000
 H                 -5.55797500   -0.42706400    1.00950600
 H                 -4.85999500   -1.38719700   -0.28722500</t>
    <phoneticPr fontId="1"/>
  </si>
  <si>
    <t>CyOH</t>
    <phoneticPr fontId="1"/>
  </si>
  <si>
    <t>0 1
 C                 -1.12994700    1.27390800    0.20999100
 C                  0.34384200    1.24362200   -0.18845500
 C                  0.30726000   -1.26572600   -0.17637100
 C                 -1.16783400   -1.24430800    0.21701100
 C                 -1.85868500    0.02419900   -0.27607700
 H                  0.43363900    1.27092800   -1.28027400
 H                  0.86580700    2.12118200    0.20441000
 H                 -1.20868000    1.33572000    1.30115600
 H                 -1.60414200    2.17261700   -0.19111500
 H                  0.39782800   -1.30737100   -1.26780600
 H                  0.80008800   -2.15440600    0.22610600
 H                 -1.66839000   -2.12971200   -0.18152000
 H                 -1.25167800   -1.29875300    1.30811800
 H                 -1.87659200    0.02171900   -1.37181300
 H                 -2.89890600    0.04028200    0.05858300
 C                  1.02481600   -0.02139500    0.31532300
 H                  1.00735500   -0.01663600    1.41394600
 O                  2.38013200   -0.09992800   -0.12646000
 H                  2.84590100    0.68205200    0.18336000</t>
    <phoneticPr fontId="1"/>
  </si>
  <si>
    <r>
      <t>MeOBH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(via CyO reduction)</t>
    </r>
    <phoneticPr fontId="1"/>
  </si>
  <si>
    <r>
      <t>MeOH</t>
    </r>
    <r>
      <rPr>
        <sz val="10"/>
        <color theme="1"/>
        <rFont val="游ゴシック"/>
        <family val="2"/>
        <charset val="128"/>
      </rPr>
      <t>・</t>
    </r>
    <r>
      <rPr>
        <sz val="10"/>
        <color theme="1"/>
        <rFont val="Arial"/>
        <family val="2"/>
      </rPr>
      <t>MeOBH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(via CyO reduction)</t>
    </r>
    <phoneticPr fontId="1"/>
  </si>
  <si>
    <r>
      <t>(MeO)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BH</t>
    </r>
    <r>
      <rPr>
        <vertAlign val="subscript"/>
        <sz val="10"/>
        <color theme="1"/>
        <rFont val="Arial"/>
        <family val="2"/>
      </rPr>
      <t>2</t>
    </r>
    <r>
      <rPr>
        <vertAlign val="superscript"/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 xml:space="preserve"> (via CyO reduction)</t>
    </r>
    <phoneticPr fontId="1"/>
  </si>
  <si>
    <r>
      <t>Na((MeO)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BH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)(MeOH)</t>
    </r>
    <r>
      <rPr>
        <vertAlign val="subscript"/>
        <sz val="10"/>
        <color theme="1"/>
        <rFont val="Arial"/>
        <family val="2"/>
      </rPr>
      <t>4</t>
    </r>
    <r>
      <rPr>
        <sz val="10"/>
        <color theme="1"/>
        <rFont val="Arial"/>
        <family val="2"/>
      </rPr>
      <t xml:space="preserve"> (via CyO reduction)</t>
    </r>
    <phoneticPr fontId="1"/>
  </si>
  <si>
    <r>
      <t>08_MeOBH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reduction</t>
    </r>
    <phoneticPr fontId="1"/>
  </si>
  <si>
    <r>
      <rPr>
        <sz val="10"/>
        <color theme="1" tint="0.499984740745262"/>
        <rFont val="游ゴシック"/>
        <family val="2"/>
        <charset val="128"/>
      </rPr>
      <t>[CyO・MeO</t>
    </r>
    <r>
      <rPr>
        <sz val="10"/>
        <color theme="1" tint="0.499984740745262"/>
        <rFont val="Arial"/>
        <family val="2"/>
      </rPr>
      <t>BH</t>
    </r>
    <r>
      <rPr>
        <vertAlign val="subscript"/>
        <sz val="10"/>
        <color theme="1" tint="0.499984740745262"/>
        <rFont val="Arial"/>
        <family val="2"/>
      </rPr>
      <t>2</t>
    </r>
    <r>
      <rPr>
        <sz val="10"/>
        <color theme="1" tint="0.499984740745262"/>
        <rFont val="游ゴシック"/>
        <family val="2"/>
        <charset val="128"/>
      </rPr>
      <t>・</t>
    </r>
    <r>
      <rPr>
        <sz val="10"/>
        <color theme="1" tint="0.499984740745262"/>
        <rFont val="Arial"/>
        <family val="2"/>
      </rPr>
      <t>MeOH]</t>
    </r>
    <r>
      <rPr>
        <vertAlign val="superscript"/>
        <sz val="10"/>
        <color theme="1" tint="0.499984740745262"/>
        <rFont val="游ゴシック"/>
        <family val="3"/>
        <charset val="128"/>
      </rPr>
      <t>‡</t>
    </r>
    <phoneticPr fontId="1"/>
  </si>
  <si>
    <t>0 1
 B                  1.64516100   -0.09690000   -0.20413700
 H                  1.52204500   -0.36363000    0.95944700
 H                  1.33072100   -0.86791700   -1.06624500
 O                 -0.51348300    0.94906500   -0.17761600
 C                 -1.57428500    0.44958500    0.15871000
 C                 -1.69754600   -0.99894800    0.53488500
 C                 -2.83353100    1.26449100    0.23866700
 C                 -2.89644900   -1.66588300   -0.15014300
 H                 -1.84899700   -1.02050200    1.62070100
 H                 -0.76488600   -1.51588000    0.31434100
 C                 -4.01418500    0.56331000   -0.44286500
 H                 -3.05523300    1.38035000    1.30635900
 H                 -2.64889500    2.25471000   -0.17760700
 C                 -4.17753100   -0.86716700    0.05628400
 H                 -3.00597500   -2.68044200    0.23675800
 H                 -2.69149100   -1.75256300   -1.22167500
 H                 -4.92218300    1.14188900   -0.26437300
 H                 -3.84788100    0.55381200   -1.52447200
 H                 -5.00533000   -1.35120000   -0.46649200
 H                 -4.43271300   -0.85531900    1.12140300
 O                  4.15032100   -1.67410700    0.13250100
 H                  4.05021000   -2.14343300   -0.69931900
 C                  5.16782100   -0.69764100   -0.02377300
 H                  5.21719800   -0.12764300    0.90402200
 H                  4.94817300   -0.01162900   -0.84667200
 H                  6.14328100   -1.16209100   -0.20089400
 O                  2.33407800    1.00291100   -0.59411100
 C                  2.75916200    1.96886800    0.35455400
 H                  2.84501200    1.53353900    1.35300800
 H                  3.73020000    2.35654400    0.04441500
 H                  2.04289200    2.79325800    0.38387800</t>
    <phoneticPr fontId="1"/>
  </si>
  <si>
    <r>
      <t>CyO</t>
    </r>
    <r>
      <rPr>
        <sz val="10"/>
        <color theme="1" tint="0.499984740745262"/>
        <rFont val="游ゴシック"/>
        <family val="2"/>
        <charset val="128"/>
      </rPr>
      <t>・</t>
    </r>
    <r>
      <rPr>
        <sz val="10"/>
        <color theme="1" tint="0.499984740745262"/>
        <rFont val="Arial"/>
        <family val="2"/>
      </rPr>
      <t>MeOBH</t>
    </r>
    <r>
      <rPr>
        <vertAlign val="subscript"/>
        <sz val="10"/>
        <color theme="1" tint="0.499984740745262"/>
        <rFont val="Arial"/>
        <family val="2"/>
      </rPr>
      <t>2</t>
    </r>
    <phoneticPr fontId="1"/>
  </si>
  <si>
    <t>0 1
 C                  2.19380700    1.39533500   -0.31224800
 C                  0.87472700    1.13333200    0.42559300
 C                  1.37446300   -1.37147700    0.31559000
 C                  2.66923000   -1.06053700   -0.44144000
 C                  3.22257600    0.30367900   -0.05301800
 H                  1.03656600    1.23167200    1.50788600
 H                  0.10257500    1.84524100    0.14438400
 H                  1.98952200    1.45639500   -1.38470900
 H                  2.57152400    2.36988300   -0.00135400
 H                  1.60338900   -1.48320700    1.38370100
 H                  0.90009400   -2.29242000   -0.02030000
 H                  3.39146800   -1.85025500   -0.23195100
 H                  2.46893700   -1.08269500   -1.51628100
 H                  3.49755400    0.30017700    1.00680200
 H                  4.13113200    0.51169900   -0.62129600
 C                  0.39239300   -0.25906400    0.25131100
 O                 -0.80497100   -0.54845600    0.10215600
 B                 -2.02638600    0.43304600    0.06862900
 H                 -1.85684400    1.19317300   -0.87925500
 H                 -2.03522600    1.03204800    1.13947600
 O                 -3.13566900   -0.47435100   -0.10549900
 C                 -4.38398000    0.15938800   -0.20780400
 H                 -4.42380700    0.84345200   -1.06688000
 H                 -5.15695600   -0.60112100   -0.33927800
 H                 -4.62217600    0.73924800    0.69475100</t>
    <phoneticPr fontId="1"/>
  </si>
  <si>
    <r>
      <t>[</t>
    </r>
    <r>
      <rPr>
        <i/>
        <sz val="10"/>
        <color theme="1" tint="0.499984740745262"/>
        <rFont val="Arial"/>
        <family val="2"/>
      </rPr>
      <t>eq</t>
    </r>
    <r>
      <rPr>
        <sz val="10"/>
        <color theme="1" tint="0.499984740745262"/>
        <rFont val="Arial"/>
        <family val="2"/>
      </rPr>
      <t>-CyO</t>
    </r>
    <r>
      <rPr>
        <sz val="10"/>
        <color theme="1" tint="0.499984740745262"/>
        <rFont val="游ゴシック"/>
        <family val="2"/>
        <charset val="128"/>
      </rPr>
      <t>・</t>
    </r>
    <r>
      <rPr>
        <sz val="10"/>
        <color theme="1" tint="0.499984740745262"/>
        <rFont val="Arial"/>
        <family val="2"/>
      </rPr>
      <t>MeOBH</t>
    </r>
    <r>
      <rPr>
        <vertAlign val="subscript"/>
        <sz val="10"/>
        <color theme="1" tint="0.499984740745262"/>
        <rFont val="Arial"/>
        <family val="2"/>
      </rPr>
      <t>2</t>
    </r>
    <r>
      <rPr>
        <sz val="10"/>
        <color theme="1" tint="0.499984740745262"/>
        <rFont val="Arial"/>
        <family val="2"/>
      </rPr>
      <t>]</t>
    </r>
    <r>
      <rPr>
        <vertAlign val="superscript"/>
        <sz val="10"/>
        <color theme="1" tint="0.499984740745262"/>
        <rFont val="游ゴシック"/>
        <family val="3"/>
        <charset val="128"/>
      </rPr>
      <t>‡</t>
    </r>
    <phoneticPr fontId="1"/>
  </si>
  <si>
    <t>0 1
 B                  1.50069000   -0.55438200   -0.66763100
 H                  0.44120300   -0.24132400   -1.24099500
 O                  0.98032000   -0.90321300    0.86171100
 H                  1.88202200   -1.63014200   -1.06872600
 C                 -0.16743700   -0.44353400    0.52771600
 C                 -1.27674700   -1.39165100    0.22127400
 C                 -0.51442200    0.98243800    0.79787300
 C                 -2.36460200   -0.80008100   -0.67148100
 H                 -1.69185000   -1.62838000    1.21092100
 H                 -0.85824200   -2.31555900   -0.17790500
 C                 -1.61043300    1.53045800   -0.11134200
 H                 -0.87046100    0.95906600    1.83744400
 H                  0.39055100    1.58868600    0.78515200
 C                 -2.79965900    0.58064800   -0.19442300
 H                 -3.21288100   -1.48555900   -0.69658800
 H                 -1.97987900   -0.72736500   -1.69298900
 H                 -1.92166400    2.50812600    0.25936900
 H                 -1.19401800    1.68341000   -1.11147800
 H                 -3.55144000    0.98650700   -0.87414500
 H                 -3.26964400    0.49642100    0.79109400
 O                  2.38941500    0.53720800   -0.65269900
 C                  3.63935000    0.32226300   -0.02956300
 H                  4.13545100   -0.56970200   -0.42940000
 H                  4.27321900    1.18999500   -0.21973200
 H                  3.52999300    0.20252300    1.05371500</t>
    <phoneticPr fontId="1"/>
  </si>
  <si>
    <r>
      <t>[</t>
    </r>
    <r>
      <rPr>
        <i/>
        <sz val="10"/>
        <color theme="1" tint="0.499984740745262"/>
        <rFont val="Arial"/>
        <family val="2"/>
      </rPr>
      <t>ax</t>
    </r>
    <r>
      <rPr>
        <sz val="10"/>
        <color theme="1" tint="0.499984740745262"/>
        <rFont val="Arial"/>
        <family val="2"/>
      </rPr>
      <t>-CyO</t>
    </r>
    <r>
      <rPr>
        <sz val="10"/>
        <color theme="1" tint="0.499984740745262"/>
        <rFont val="游ゴシック"/>
        <family val="2"/>
        <charset val="128"/>
      </rPr>
      <t>・</t>
    </r>
    <r>
      <rPr>
        <sz val="10"/>
        <color theme="1" tint="0.499984740745262"/>
        <rFont val="Arial"/>
        <family val="2"/>
      </rPr>
      <t>MeOBH</t>
    </r>
    <r>
      <rPr>
        <vertAlign val="subscript"/>
        <sz val="10"/>
        <color theme="1" tint="0.499984740745262"/>
        <rFont val="Arial"/>
        <family val="2"/>
      </rPr>
      <t>2</t>
    </r>
    <r>
      <rPr>
        <sz val="10"/>
        <color theme="1" tint="0.499984740745262"/>
        <rFont val="Arial"/>
        <family val="2"/>
      </rPr>
      <t>]</t>
    </r>
    <r>
      <rPr>
        <vertAlign val="superscript"/>
        <sz val="10"/>
        <color theme="1" tint="0.499984740745262"/>
        <rFont val="游ゴシック"/>
        <family val="3"/>
        <charset val="128"/>
      </rPr>
      <t>‡</t>
    </r>
    <phoneticPr fontId="1"/>
  </si>
  <si>
    <t>0 1
 B                 -1.78687600   -0.80870600    0.44224600
 H                 -1.03351300   -0.84905800    1.43278500
 O                 -0.71599100   -0.54963500   -0.78297600
 H                 -2.20309700   -1.91824100    0.20029600
 C                  0.17468400   -0.33653000    0.11445900
 C                  0.47836800    1.05167900    0.57282700
 C                  1.23761600   -1.35213600    0.36303700
 C                  1.72871300    1.50470200   -0.21148000
 H                  0.70749700    1.04109900    1.63947800
 H                 -0.36711500    1.70983700    0.38342300
 C                  2.48464400   -0.88789100   -0.41971600
 H                  1.47289200   -1.37712100    1.42820000
 H                  0.90290500   -2.33507100    0.03573000
 C                  2.88511400    0.52901300   -0.02406200
 H                  2.00058800    2.50435600    0.12967500
 H                  1.47605800    1.58146800   -1.27299200
 H                  3.29335400   -1.59320600   -0.22480100
 H                  2.26960900   -0.92800300   -1.49140700
 H                  3.20087000    0.53752700    1.02406100
 H                  3.74106100    0.85122500   -0.62056200
 O                 -2.69156100    0.26445200    0.55561700
 C                 -3.60520900    0.43195400   -0.50917100
 H                 -4.14716800   -0.49750100   -0.71930700
 H                 -4.32610300    1.20118500   -0.22719700
 H                 -3.09662900    0.75175400   -1.42510200</t>
    <phoneticPr fontId="1"/>
  </si>
  <si>
    <r>
      <rPr>
        <i/>
        <sz val="10"/>
        <color theme="1" tint="0.499984740745262"/>
        <rFont val="Arial"/>
        <family val="2"/>
      </rPr>
      <t>eq</t>
    </r>
    <r>
      <rPr>
        <sz val="10"/>
        <color theme="1" tint="0.499984740745262"/>
        <rFont val="Arial"/>
        <family val="2"/>
      </rPr>
      <t>-CyOH</t>
    </r>
    <r>
      <rPr>
        <sz val="10"/>
        <color theme="1" tint="0.499984740745262"/>
        <rFont val="游ゴシック"/>
        <family val="2"/>
        <charset val="128"/>
      </rPr>
      <t>・</t>
    </r>
    <r>
      <rPr>
        <sz val="10"/>
        <color theme="1" tint="0.499984740745262"/>
        <rFont val="Arial"/>
        <family val="2"/>
      </rPr>
      <t>MeOBH</t>
    </r>
    <phoneticPr fontId="1"/>
  </si>
  <si>
    <t>0 1
 C                 -2.51487800    1.25882200    0.29949100
 C                 -1.09649300    1.25700400   -0.26593300
 C                 -1.09631600   -1.25693500   -0.26593100
 C                 -2.51470300   -1.25895500    0.29949100
 C                 -3.27656200   -0.00012000   -0.10532500
 H                 -1.13311800    1.29488400   -1.36014600
 H                 -0.54342000    2.13622200    0.07406100
 H                 -2.46764700    1.31538100    1.39269900
 H                 -3.04524800    2.15155400   -0.03936100
 H                 -1.13293200   -1.29482400   -1.36014300
 H                 -0.54311900   -2.13607300    0.07406900
 H                 -3.04494200   -2.15176200   -0.03936600
 H                 -2.46746200   -1.31550700    1.39270000
 H                 -3.42109700   -0.00012900   -1.19151100
 H                 -4.27101600   -0.00018700    0.34763400
 C                 -0.34885000    0.00008800    0.14616000
 O                  0.94464200    0.00018800   -0.46623000
 B                  2.08037700    0.00001800    0.26974600
 H                  2.05950000   -0.00017100    1.46986400
 H                 -0.22137900    0.00009800    1.23462900
 O                  3.25073200    0.00003100   -0.42004400
 C                  4.48533000   -0.00007500    0.28720500
 H                  4.57665400   -0.89076200    0.91243600
 H                  5.28821200   -0.00034000   -0.44918400
 H                  4.57696400    0.89079600    0.91213000</t>
    <phoneticPr fontId="1"/>
  </si>
  <si>
    <r>
      <t>(MeO)</t>
    </r>
    <r>
      <rPr>
        <vertAlign val="subscript"/>
        <sz val="10"/>
        <color theme="1" tint="0.499984740745262"/>
        <rFont val="Arial"/>
        <family val="2"/>
      </rPr>
      <t>2</t>
    </r>
    <r>
      <rPr>
        <sz val="10"/>
        <color theme="1" tint="0.499984740745262"/>
        <rFont val="Arial"/>
        <family val="2"/>
      </rPr>
      <t>BH</t>
    </r>
    <phoneticPr fontId="1"/>
  </si>
  <si>
    <t>0 1
 O                  1.15169700   -0.44785000    0.00000000
 B                  0.00000000    0.26644800   -0.00000500
 H                  0.00000100    1.46629200   -0.00000400
 C                  2.41935100    0.19051200    0.00000200
 H                  2.32044100    1.27821900    0.00001500
 H                  2.97224700   -0.11888800    0.88835600
 H                  2.97224000   -0.11886800   -0.88836300
 O                 -1.15169800   -0.44785100   -0.00000200
 C                 -2.41934900    0.19051200    0.00000200
 H                 -2.97225000   -0.11887900   -0.88835200
 H                 -2.97224000   -0.11887200    0.88836500
 H                 -2.32044200    1.27822000   -0.00000300</t>
    <phoneticPr fontId="1"/>
  </si>
  <si>
    <r>
      <t>09_(MeO)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>BH</t>
    </r>
    <r>
      <rPr>
        <b/>
        <vertAlign val="subscript"/>
        <sz val="10"/>
        <rFont val="Arial"/>
        <family val="2"/>
      </rPr>
      <t>2</t>
    </r>
    <r>
      <rPr>
        <b/>
        <vertAlign val="superscript"/>
        <sz val="10"/>
        <rFont val="Arial"/>
        <family val="2"/>
      </rPr>
      <t>-</t>
    </r>
    <r>
      <rPr>
        <b/>
        <sz val="10"/>
        <rFont val="Arial"/>
        <family val="2"/>
      </rPr>
      <t xml:space="preserve"> methanolysis</t>
    </r>
    <phoneticPr fontId="1"/>
  </si>
  <si>
    <r>
      <t>MeOH</t>
    </r>
    <r>
      <rPr>
        <vertAlign val="subscript"/>
        <sz val="10"/>
        <color theme="1" tint="0.499984740745262"/>
        <rFont val="Arial"/>
        <family val="2"/>
      </rPr>
      <t>2</t>
    </r>
    <r>
      <rPr>
        <sz val="10"/>
        <color theme="1" tint="0.499984740745262"/>
        <rFont val="游ゴシック"/>
        <family val="2"/>
        <charset val="128"/>
      </rPr>
      <t>・</t>
    </r>
    <r>
      <rPr>
        <sz val="10"/>
        <color theme="1" tint="0.499984740745262"/>
        <rFont val="Arial"/>
        <family val="2"/>
      </rPr>
      <t>(MeO)</t>
    </r>
    <r>
      <rPr>
        <vertAlign val="subscript"/>
        <sz val="10"/>
        <color theme="1" tint="0.499984740745262"/>
        <rFont val="Arial"/>
        <family val="2"/>
      </rPr>
      <t>2</t>
    </r>
    <r>
      <rPr>
        <sz val="10"/>
        <color theme="1" tint="0.499984740745262"/>
        <rFont val="Arial"/>
        <family val="2"/>
      </rPr>
      <t>BH</t>
    </r>
    <r>
      <rPr>
        <vertAlign val="subscript"/>
        <sz val="10"/>
        <color theme="1" tint="0.499984740745262"/>
        <rFont val="Arial"/>
        <family val="2"/>
      </rPr>
      <t>2</t>
    </r>
    <phoneticPr fontId="1"/>
  </si>
  <si>
    <t>0 1
 B                  0.64243900   -0.18277900   -0.40015900
 H                  0.42230100   -0.98242600   -1.31251800
 O                  0.04307500    1.09359200   -0.71869000
 H                 -1.11541700   -0.53339600    0.73064500
 H                  0.09022700   -0.68300900    0.67853300
 O                 -2.16832500   -0.46128100    0.78084500
 C                 -2.78369600   -0.97976500   -0.43572200
 H                 -2.40837800   -1.99164500   -0.55114300
 H                 -3.85702600   -0.97859900   -0.27189500
 H                 -2.50378700   -0.35326800   -1.27887300
 C                  0.09902700    2.08325800    0.27886200
 H                 -0.56272100    2.90683200   -0.00117900
 H                 -0.22977300    1.69156200    1.25243200
 H                  1.11058700    2.48620900    0.40529900
 H                 -2.39941100    0.46914900    0.92831000
 O                  2.05295100   -0.05882400   -0.07057600
 C                  2.70669900   -1.25932600    0.24054400
 H                  2.65200500   -1.97965000   -0.58770500
 H                  3.76006700   -1.05121000    0.44363500
 H                  2.27534700   -1.73954100    1.13050700</t>
    <phoneticPr fontId="1"/>
  </si>
  <si>
    <r>
      <t>[MeOH</t>
    </r>
    <r>
      <rPr>
        <vertAlign val="subscript"/>
        <sz val="10"/>
        <color theme="1" tint="0.499984740745262"/>
        <rFont val="Arial"/>
        <family val="2"/>
      </rPr>
      <t>2</t>
    </r>
    <r>
      <rPr>
        <sz val="10"/>
        <color theme="1" tint="0.499984740745262"/>
        <rFont val="游ゴシック"/>
        <family val="2"/>
        <charset val="128"/>
      </rPr>
      <t>・</t>
    </r>
    <r>
      <rPr>
        <sz val="10"/>
        <color theme="1" tint="0.499984740745262"/>
        <rFont val="Arial"/>
        <family val="2"/>
      </rPr>
      <t>(MeO)</t>
    </r>
    <r>
      <rPr>
        <vertAlign val="subscript"/>
        <sz val="10"/>
        <color theme="1" tint="0.499984740745262"/>
        <rFont val="Arial"/>
        <family val="2"/>
      </rPr>
      <t>2</t>
    </r>
    <r>
      <rPr>
        <sz val="10"/>
        <color theme="1" tint="0.499984740745262"/>
        <rFont val="Arial"/>
        <family val="2"/>
      </rPr>
      <t>BH</t>
    </r>
    <r>
      <rPr>
        <vertAlign val="subscript"/>
        <sz val="10"/>
        <color theme="1" tint="0.499984740745262"/>
        <rFont val="Arial"/>
        <family val="2"/>
      </rPr>
      <t>2</t>
    </r>
    <r>
      <rPr>
        <sz val="10"/>
        <color theme="1" tint="0.499984740745262"/>
        <rFont val="Arial"/>
        <family val="2"/>
      </rPr>
      <t>]</t>
    </r>
    <r>
      <rPr>
        <vertAlign val="superscript"/>
        <sz val="10"/>
        <color theme="1" tint="0.499984740745262"/>
        <rFont val="Arial"/>
        <family val="2"/>
      </rPr>
      <t>‡</t>
    </r>
    <phoneticPr fontId="1"/>
  </si>
  <si>
    <t>0 1
 B                  0.63006100   -0.15601400   -0.43747300
 H                  0.38856800   -0.95465100   -1.33530800
 O                  0.05095100    1.12299600   -0.71659800
 H                 -0.98926300   -0.53851600    0.69957900
 H                  0.04815600   -0.68992000    0.67070500
 O                 -2.13655100   -0.44812700    0.77458500
 C                 -2.77593800   -0.97353700   -0.41448500
 H                 -2.40159300   -1.98569300   -0.53876700
 H                 -3.84896800   -0.98299100   -0.24035900
 H                 -2.52221400   -0.35852600   -1.27565900
 C                  0.15844700    2.10588500    0.28647300
 H                 -0.50007100    2.93960700    0.03245300
 H                 -0.14342900    1.71105300    1.26656600
 H                  1.18019300    2.49018400    0.37770400
 H                 -2.35589900    0.48616300    0.89908500
 O                  2.01295300   -0.08679600   -0.04442800
 C                  2.63790100   -1.31451300    0.22854500
 H                  2.59361700   -1.99261900   -0.63383200
 H                  3.68720800   -1.13189300    0.47016100
 H                  2.17210300   -1.82373400    1.08337100</t>
    <phoneticPr fontId="1"/>
  </si>
  <si>
    <r>
      <t>MeOH</t>
    </r>
    <r>
      <rPr>
        <sz val="10"/>
        <color theme="1" tint="0.499984740745262"/>
        <rFont val="游ゴシック"/>
        <family val="2"/>
        <charset val="128"/>
      </rPr>
      <t>・</t>
    </r>
    <r>
      <rPr>
        <sz val="10"/>
        <color theme="1" tint="0.499984740745262"/>
        <rFont val="Arial"/>
        <family val="2"/>
      </rPr>
      <t>(MeO)</t>
    </r>
    <r>
      <rPr>
        <vertAlign val="subscript"/>
        <sz val="10"/>
        <color theme="1" tint="0.499984740745262"/>
        <rFont val="Arial"/>
        <family val="2"/>
      </rPr>
      <t>2</t>
    </r>
    <r>
      <rPr>
        <sz val="10"/>
        <color theme="1" tint="0.499984740745262"/>
        <rFont val="Arial"/>
        <family val="2"/>
      </rPr>
      <t>BH</t>
    </r>
    <phoneticPr fontId="1"/>
  </si>
  <si>
    <t>0 1
 B                 -0.16070300   -0.24220400    0.70568100
 O                  1.36963100   -0.85363500    0.48670300
 H                  1.34249100   -1.81831100    0.51070300
 C                  2.17759900   -0.41093900   -0.62239700
 H                  3.11683400   -0.95910600   -0.59660000
 H                  1.65891000   -0.58485600   -1.56457200
 H                  2.36471800    0.64867000   -0.47380800
 O                 -0.01023600    1.16968200    0.78038200
 C                 -0.24267500    1.96722800   -0.36338000
 H                 -1.30116100    1.97077100   -0.64289900
 H                  0.05129500    2.99080200   -0.12311500
 H                  0.33634700    1.63986700   -1.23209900
 O                 -0.88665000   -0.76464400   -0.40891100
 C                 -2.28453700   -0.84577800   -0.24957100
 H                 -2.71250200   -1.28449800   -1.15304000
 H                 -2.55333200   -1.47805100    0.60561700
 H                 -2.73845200    0.14113600   -0.09976000
 H                 -0.44592200   -0.72968300    1.78785900</t>
    <phoneticPr fontId="1"/>
  </si>
  <si>
    <r>
      <t>(MeO)</t>
    </r>
    <r>
      <rPr>
        <vertAlign val="subscript"/>
        <sz val="10"/>
        <color theme="1" tint="0.499984740745262"/>
        <rFont val="Arial"/>
        <family val="2"/>
      </rPr>
      <t>3</t>
    </r>
    <r>
      <rPr>
        <sz val="10"/>
        <color theme="1" tint="0.499984740745262"/>
        <rFont val="Arial"/>
        <family val="2"/>
      </rPr>
      <t>BH</t>
    </r>
    <r>
      <rPr>
        <vertAlign val="superscript"/>
        <sz val="10"/>
        <color theme="1" tint="0.499984740745262"/>
        <rFont val="Arial"/>
        <family val="2"/>
      </rPr>
      <t>-</t>
    </r>
    <phoneticPr fontId="1"/>
  </si>
  <si>
    <t>-1 1
 H                 -0.00000500   -1.02711900    1.44657600
 B                 -0.00000100   -0.42529200    0.34712700
 C                  2.41383500   -0.57740700    0.10833000
 H                  2.62259400    0.49295000    0.23985500
 H                  2.50400800   -1.05496400    1.09495900
 H                  3.18904000   -0.99394600   -0.54122300
 O                  1.15883900   -0.80831000   -0.46938800
 O                 -1.15884200   -0.80830000   -0.46939100
 C                 -2.41383700   -0.57740500    0.10833100
 H                 -3.18904500   -0.99392200   -0.54123300
 H                 -2.50401400   -1.05498700    1.09494800
 H                 -2.62259000    0.49295000    0.23988500
 O                  0.00000500    1.01008200    0.70515100
 C                  0.00000300    1.91696200   -0.36871800
 H                  0.00002700    2.93632100    0.02798900
 H                  0.88554700    1.80423500   -1.00802800
 H                 -0.88556500    1.80426500   -1.00800000</t>
    <phoneticPr fontId="1"/>
  </si>
  <si>
    <r>
      <t>Na((MeO)</t>
    </r>
    <r>
      <rPr>
        <vertAlign val="subscript"/>
        <sz val="10"/>
        <color theme="1" tint="0.499984740745262"/>
        <rFont val="Arial"/>
        <family val="2"/>
      </rPr>
      <t>3</t>
    </r>
    <r>
      <rPr>
        <sz val="10"/>
        <color theme="1" tint="0.499984740745262"/>
        <rFont val="Arial"/>
        <family val="2"/>
      </rPr>
      <t>BH)(MeOH)</t>
    </r>
    <r>
      <rPr>
        <vertAlign val="subscript"/>
        <sz val="10"/>
        <color theme="1" tint="0.499984740745262"/>
        <rFont val="Arial"/>
        <family val="2"/>
      </rPr>
      <t>4</t>
    </r>
    <phoneticPr fontId="1"/>
  </si>
  <si>
    <t>0 1
 Na                -0.78779400   -0.02455300    0.56041800
 C                  0.69722100   -2.02250700   -2.22366600
 O                  1.26327800   -1.30105900   -1.15856100
 H                  0.50557000   -3.04637800   -1.89497700
 H                  1.37735900   -2.05667500   -3.08405200
 H                 -0.25104100   -1.58678900   -2.55836400
 C                 -3.18457500   -2.05001100    0.65250700
 O                 -2.20055300   -1.74039200   -0.32581100
 H                 -2.65696400   -2.38118600    1.54700400
 H                 -3.84046200   -2.85649600    0.31471500
 H                 -3.79194400   -1.17453300    0.90143000
 H                 -2.64393400   -1.48888300   -1.14017500
 C                  1.58109300   -1.86381900    2.26660600
 O                  0.52185500   -1.94751500    1.33060700
 H                  1.14970100   -1.90640800    3.26754500
 H                  2.13695700   -0.92685300    2.16963700
 H                  2.27920200   -2.69997100    2.15405300
 H                  0.89255600   -1.84436700    0.42613300
 C                  0.42173800    2.73310300    1.78835300
 O                  0.73579900    1.35241800    1.83726500
 H                 -0.11763100    2.99587100    0.87322800
 H                  1.32345500    3.34989600    1.85379900
 H                 -0.21704100    2.96279900    2.64220600
 H                  1.39186700    1.15039100    1.13226000
 C                 -3.32004500    1.36887400   -0.76505100
 O                 -2.58935700    1.45780600    0.45050000
 H                 -4.13409100    0.64226400   -0.69002900
 H                 -2.62561200    1.04276200   -1.53900700
 H                 -3.73268000    2.34037100   -1.05009300
 H                 -3.18579200    1.71793100    1.15610300
 H                  2.14695200    0.30233100   -2.44925400
 B                  1.52537000    0.13085800   -1.38478500
 O                  2.29686500    0.63849500   -0.23731800
 C                  3.61599600    0.17721900   -0.09365400
 H                  4.21593200    0.40809000   -0.98316200
 H                  4.07239700    0.67251700    0.76664100
 H                  3.65744500   -0.90567400    0.07211200
 O                  0.23321300    0.82691600   -1.39622400
 C                  0.23919100    2.16032600   -1.83488800
 H                 -0.75820900    2.58627200   -1.70133900
 H                  0.95046400    2.77745500   -1.27316400
 H                  0.50192800    2.22860500   -2.89882200</t>
    <phoneticPr fontId="1"/>
  </si>
  <si>
    <r>
      <t>10_Na(MeO)</t>
    </r>
    <r>
      <rPr>
        <b/>
        <vertAlign val="subscript"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>BH</t>
    </r>
    <r>
      <rPr>
        <b/>
        <vertAlign val="subscript"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 xml:space="preserve"> reduction</t>
    </r>
    <phoneticPr fontId="1"/>
  </si>
  <si>
    <r>
      <t>Na((MeO)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BH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)(</t>
    </r>
    <r>
      <rPr>
        <i/>
        <sz val="10"/>
        <rFont val="Arial"/>
        <family val="2"/>
      </rPr>
      <t>eq</t>
    </r>
    <r>
      <rPr>
        <sz val="10"/>
        <rFont val="Arial"/>
        <family val="2"/>
      </rPr>
      <t>-CyO)(MeOH)</t>
    </r>
    <r>
      <rPr>
        <vertAlign val="subscript"/>
        <sz val="10"/>
        <rFont val="Arial"/>
        <family val="2"/>
      </rPr>
      <t>4</t>
    </r>
    <phoneticPr fontId="1"/>
  </si>
  <si>
    <t>0 1
 C                  4.37408400   -1.16167600    0.37045800
 C                  3.37352300   -1.58870600   -0.70628100
 C                  2.25636700    0.70730200   -0.50936200
 C                  3.30426500    1.09817300    0.53612600
 C                  4.61248300    0.34270300    0.34052200
 H                  3.81704600   -1.41399300   -1.69471100
 H                  3.11950900   -2.64673200   -0.63930500
 H                  3.98765000   -1.44774700    1.35358500
 H                  5.30854000   -1.70598900    0.22334900
 H                  2.56768500    1.08548800   -1.49159800
 H                  1.28201500    1.13844000   -0.28162700
 H                  3.46718200    2.17643400    0.48792700
 H                  2.90758700    0.87935700    1.53158000
 H                  5.06147300    0.62281400   -0.61868800
 H                  5.32247900    0.62343300    1.12139200
 C                  2.11001500   -0.77819200   -0.68225600
 H                  0.70999500    0.04083900    2.24229100
 B                 -0.51596000    0.24622300    2.15961400
 Na                -1.10978200   -0.23230900   -0.72063800
 H                 -0.96512100    0.47540300    3.30183000
 C                 -0.22426800    2.61377400    1.63377700
 H                 -0.54999800    2.91167500    2.63929000
 H                  0.87267600    2.56769800    1.63592000
 H                 -0.53600400    3.38915100    0.93057200
 O                  1.01932000   -1.29838700   -0.84945200
 O                 -0.55303100    1.30070200   -2.42912400
 H                  0.27264200    1.09810400   -2.87647100
 C                 -0.55035900    2.67740500   -2.07363900
 H                 -1.48137100    2.87725500   -1.54504900
 H                  0.29069400    2.91983200   -1.41852900
 H                 -0.50602000    3.31293100   -2.96232800
 O                 -2.11493900   -2.28926400   -1.39111700
 C                 -3.42103000   -2.38110000   -0.83491700
 H                 -3.40971100   -2.19835700    0.24311100
 H                 -4.03135000   -1.61848500   -1.31720800
 H                 -3.86506800   -3.36125300   -1.02818900
 H                 -1.56894000   -2.97842300   -1.00255800
 O                 -3.10526200    1.24397600   -0.08695000
 C                 -4.19353900    0.79597900    0.70075000
 H                 -4.58834100    1.60162400    1.32892800
 H                 -4.98554600    0.46413900    0.02866300
 H                 -3.90666900   -0.04077200    1.34506000
 O                 -0.78919100    1.38983800    1.25286800
 H                 -2.36020500    1.45413600    0.51596100
 O                 -1.19920100   -0.88970000    1.52263600
 C                 -0.84823300   -2.15925900    1.98843600
 H                 -1.41102500   -2.91532000    1.43343100
 H                  0.22369700   -2.36103800    1.85376100
 H                 -1.07950900   -2.28209800    3.05599100</t>
    <phoneticPr fontId="1"/>
  </si>
  <si>
    <r>
      <t>[Na((MeO)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BH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)(</t>
    </r>
    <r>
      <rPr>
        <i/>
        <sz val="10"/>
        <color theme="1"/>
        <rFont val="Arial"/>
        <family val="2"/>
      </rPr>
      <t>eq</t>
    </r>
    <r>
      <rPr>
        <sz val="10"/>
        <color theme="1"/>
        <rFont val="Arial"/>
        <family val="2"/>
      </rPr>
      <t>-CyO)(MeOH)</t>
    </r>
    <r>
      <rPr>
        <vertAlign val="subscript"/>
        <sz val="10"/>
        <color theme="1"/>
        <rFont val="Arial"/>
        <family val="2"/>
      </rPr>
      <t>4</t>
    </r>
    <r>
      <rPr>
        <sz val="10"/>
        <color theme="1"/>
        <rFont val="Arial"/>
        <family val="2"/>
      </rPr>
      <t>]</t>
    </r>
    <r>
      <rPr>
        <vertAlign val="superscript"/>
        <sz val="10"/>
        <color theme="1"/>
        <rFont val="Arial"/>
        <family val="2"/>
      </rPr>
      <t>‡</t>
    </r>
    <phoneticPr fontId="1"/>
  </si>
  <si>
    <t>0 1
 C                  3.62446400   -1.70037500    0.29641400
 C                  2.55527600   -1.69243700   -0.78876600
 C                  2.52957200    0.86426800   -0.70657000
 C                  3.61203900    0.81486900    0.36640100
 C                  4.47662300   -0.43597300    0.24383700
 H                  3.03757100   -1.75576200   -1.77318300
 H                  1.88393400   -2.54760500   -0.71046800
 H                  3.14561200   -1.77536700    1.27756900
 H                  4.25115800   -2.58736900    0.18008900
 H                  2.99323000    1.01890500   -1.68931100
 H                  1.83689200    1.69265200   -0.54882300
 H                  4.22848600    1.71408600    0.29871200
 H                  3.14299700    0.82634800    1.35434000
 H                  5.02661000   -0.40897800   -0.70354200
 H                  5.22103900   -0.45287900    1.04330000
 C                  1.73523800   -0.41833400   -0.85184500
 H                  1.28463900   -0.46033600    0.67493700
 B                  0.31255900   -0.24972800    1.53164000
 Na                -1.58042200   -0.11821700   -0.87598900
 H                  0.80175100   -0.53270400    2.62427300
 C                  0.55873700    2.13861200    2.09740200
 H                  0.77509200    1.84385500    3.13028900
 H                  1.50324200    2.39483200    1.60795500
 H                 -0.06841700    3.03272800    2.11714100
 O                  0.69139800   -0.41154600   -1.55798300
 O                 -0.76108200    1.74623200   -2.27852500
 H                  0.00905000    1.16412800   -2.12024100
 C                 -0.53604600    3.00027800   -1.65767200
 H                 -1.44589100    3.59183600   -1.76269700
 H                 -0.31383000    2.89112600   -0.59203500
 H                  0.28769900    3.53947200   -2.13630200
 O                 -2.94755700   -1.96295300   -1.35901000
 C                 -4.03645300   -1.99022100   -0.44202800
 H                 -3.68604900   -1.98935900    0.59402700
 H                 -4.62899400   -1.09317300   -0.61794400
 H                 -4.66806800   -2.86659800   -0.60673900
 H                 -2.44669300   -2.77770900   -1.26299300
 O                 -2.66321300    1.49716000    0.57838200
 C                 -3.61236800    1.06050300    1.53596700
 H                 -3.70572700    1.77831400    2.35734000
 H                 -4.57921400    0.97561200    1.03954800
 H                 -3.34327700    0.08481900    1.95232500
 O                 -0.13108500    1.12299200    1.41084200
 H                 -1.77886800    1.48518500    1.00142200
 O                 -0.79736900   -1.08047000    1.12674100
 C                 -0.62508800   -2.46939300    1.24751200
 H                 -1.55100900   -2.96778800    0.95283600
 H                  0.18302200   -2.83814300    0.60666900
 H                 -0.39484200   -2.75320000    2.28168700</t>
    <phoneticPr fontId="1"/>
  </si>
  <si>
    <t>NBO charge (H:-0.218, C:0.370)</t>
    <phoneticPr fontId="1"/>
  </si>
  <si>
    <r>
      <t>[Na((MeO)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BH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)(</t>
    </r>
    <r>
      <rPr>
        <i/>
        <sz val="10"/>
        <color theme="1"/>
        <rFont val="Arial"/>
        <family val="2"/>
      </rPr>
      <t>ax</t>
    </r>
    <r>
      <rPr>
        <sz val="10"/>
        <color theme="1"/>
        <rFont val="Arial"/>
        <family val="2"/>
      </rPr>
      <t>-CyO)(MeOH)</t>
    </r>
    <r>
      <rPr>
        <vertAlign val="subscript"/>
        <sz val="10"/>
        <color theme="1"/>
        <rFont val="Arial"/>
        <family val="2"/>
      </rPr>
      <t>4</t>
    </r>
    <r>
      <rPr>
        <sz val="10"/>
        <color theme="1"/>
        <rFont val="Arial"/>
        <family val="2"/>
      </rPr>
      <t>]</t>
    </r>
    <r>
      <rPr>
        <vertAlign val="superscript"/>
        <sz val="10"/>
        <color theme="1"/>
        <rFont val="Arial"/>
        <family val="2"/>
      </rPr>
      <t>‡</t>
    </r>
    <phoneticPr fontId="1"/>
  </si>
  <si>
    <t>0 1
 C                  3.72090000    0.78660700   -0.67977800
 C                  2.48778800    0.86243200    0.23114700
 C                  2.63076100   -1.62423200    0.65325700
 C                  3.87682900   -1.69904600   -0.24382600
 C                  4.62921400   -0.37033900   -0.26865000
 H                  2.80765000    1.05488900    1.25678900
 H                  1.81197100    1.66015400   -0.07728300
 H                  3.39671800    0.65229200   -1.71683100
 H                  4.26324600    1.73339900   -0.63437400
 H                  2.93352100   -1.44648600    1.68713000
 H                  2.06246000   -2.55335200    0.60907600
 H                  4.52860900   -2.49978800    0.11208300
 H                  3.56886700   -1.96476200   -1.26009800
 H                  5.03345500   -0.16860800    0.72951300
 H                  5.48148700   -0.43772200   -0.94897800
 C                  1.77954800   -0.47457000    0.15179900
 H                  0.92380500   -0.30047300    1.49238600
 B                 -0.25479900    0.03167700    1.95470100
 Na                -1.37859900   -0.25407100   -0.91249300
 H                 -0.14165300   -0.07585000    3.17703100
 C                 -0.00474600    2.44697900    2.20959700
 H                 -0.40468400    2.49976000    3.22901200
 H                  1.08524900    2.36646400    2.27350000
 H                 -0.25125200    3.37586600    1.69120600
 O                  0.97156700   -0.68428300   -0.79096700
 O                 -0.07470400    1.20847200   -2.42957600
 H                  0.57543200    0.69038500   -1.91532600
 C                 -0.01029000    2.56649200   -2.02631800
 H                 -0.80411200    3.10483500   -2.54451300
 H                 -0.16244600    2.67709700   -0.94808900
 H                  0.95044500    3.01691300   -2.29513300
 O                 -2.61415500   -2.15505200   -1.49429500
 C                 -3.91391100   -2.09163900   -0.91687600
 H                 -3.86352800   -1.96898800    0.16875200
 H                 -4.41727900   -1.22748200   -1.34888300
 H                 -4.49249800   -2.98875400   -1.15037300
 H                 -2.17528600   -2.94770200   -1.17362800
 O                 -2.69731300    1.60598000   -0.12535300
 C                 -3.91346200    1.30760900    0.53937800
 H                 -4.21627700    2.12723800    1.19872600
 H                 -4.68601000    1.16899400   -0.21719000
 H                 -3.83302500    0.39153200    1.13287400
 O                 -0.56657900    1.37083800    1.49868500
 H                 -1.98865400    1.67007900    0.54973900
 O                 -1.22299100   -0.85791200    1.35797100
 C                 -1.07815200   -2.22333700    1.65756600
 H                 -1.91493300   -2.77269500    1.22113000
 H                 -0.14605000   -2.63034700    1.24947200
 H                 -1.08012800   -2.39658600    2.74070300</t>
    <phoneticPr fontId="1"/>
  </si>
  <si>
    <r>
      <t>[Na((MeO)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BH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)(Ph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CO)(MeOH)</t>
    </r>
    <r>
      <rPr>
        <vertAlign val="subscript"/>
        <sz val="10"/>
        <color theme="1"/>
        <rFont val="Arial"/>
        <family val="2"/>
      </rPr>
      <t>4</t>
    </r>
    <r>
      <rPr>
        <sz val="10"/>
        <color theme="1"/>
        <rFont val="Arial"/>
        <family val="2"/>
      </rPr>
      <t>]</t>
    </r>
    <r>
      <rPr>
        <vertAlign val="superscript"/>
        <sz val="10"/>
        <color theme="1"/>
        <rFont val="Arial"/>
        <family val="2"/>
      </rPr>
      <t>‡</t>
    </r>
    <phoneticPr fontId="1"/>
  </si>
  <si>
    <t>0 1
 C                 -1.21813100    0.17090800   -0.45346200
 H                 -0.54269700    0.12085200    1.07320000
 B                  0.54864400   -0.00199100    1.75764200
 Na                 2.16296900    0.18701500   -0.81909500
 H                  0.19151000    0.15407700    2.92944200
 C                  0.48749900   -2.44461500    1.99215600
 H                  0.22339600   -2.31174100    3.04788700
 H                 -0.42566700   -2.68183300    1.43688800
 H                  1.16971600   -3.29362100    1.91197200
 O                 -0.27318200    0.16638500   -1.26731200
 O                  1.55209800   -1.63271500   -2.27308600
 H                  0.67933300   -1.25205800   -2.07985900
 C                  1.60116400   -2.94787300   -1.74047200
 H                  2.63032800   -3.29784800   -1.81777400
 H                  1.30147200   -2.96636500   -0.68916200
 H                  0.95619500   -3.62800800   -2.30507300
 O                  3.16281200    2.23091400   -1.38844000
 C                  4.36055300    2.41351900   -0.64069200
 H                  4.17375900    2.35176400    0.43506500
 H                  5.04525400    1.61647900   -0.92837100
 H                  4.82513000    3.37571000   -0.86973900
 H                  2.56856000    2.96195600   -1.19857000
 O                  3.61865300   -1.29346700    0.44916100
 C                  4.57462300   -0.71183000    1.31910600
 H                  4.85585400   -1.40370800    2.11954300
 H                  5.46489300   -0.47896700    0.73456700
 H                  4.19811100    0.21132000    1.77041500
 O                  1.12875700   -1.30199300    1.47935700
 H                  2.78800100   -1.42770500    0.95150500
 O                  1.50408800    0.97520800    1.28402600
 C                  1.17229500    2.33371000    1.42543700
 H                  2.08327000    2.93061500    1.33942300
 H                  0.46908700    2.66146300    0.65283300
 H                  0.72159600    2.53720000    2.40424900
 C                 -1.94877800    1.47936100   -0.23379700
 C                 -2.27698400    2.19498600   -1.38265800
 C                 -2.31841900    1.98774100    1.00687000
 C                 -2.96991300    3.39319900   -1.29300000
 H                 -1.98910600    1.80839500   -2.35268100
 C                 -3.00709500    3.18714200    1.09596500
 H                 -2.03530600    1.46716600    1.91186500
 C                 -3.33807200    3.89260500   -0.05278600
 H                 -3.21927200    3.93765900   -2.19571200
 H                 -3.27643900    3.57745600    2.06989500
 H                 -3.87427200    4.83094200    0.01998400
 C                 -2.00135000   -1.10358600   -0.23664000
 C                 -2.84587800   -1.29014000    0.85564000
 C                 -1.87703900   -2.12451600   -1.17151200
 C                 -3.52136700   -2.48566000    1.02500700
 H                 -2.95661300   -0.51227900    1.59856200
 C                 -2.55615400   -3.32315800   -1.00489900
 H                 -1.26070400   -1.97968200   -2.04804900
 C                 -3.37350000   -3.51060800    0.09813500
 H                 -4.16190700   -2.62195100    1.88771400
 H                 -2.44603600   -4.10876300   -1.74247300
 H                 -3.89984500   -4.44747700    0.23424300
0 1
 C                 -1.21813100    0.17090800   -0.45346200
 H                 -0.54269700    0.12085200    1.07320000
 B                  0.54864400   -0.00199100    1.75764200
 Na                 2.16296900    0.18701500   -0.81909500
 H                  0.19151000    0.15407700    2.92944200
 C                  0.48749900   -2.44461500    1.99215600
 H                  0.22339600   -2.31174100    3.04788700
 H                 -0.42566700   -2.68183300    1.43688800
 H                  1.16971600   -3.29362100    1.91197200
 O                 -0.27318200    0.16638500   -1.26731200
 O                  1.55209800   -1.63271500   -2.27308600
 H                  0.67933300   -1.25205800   -2.07985900
 C                  1.60116400   -2.94787300   -1.74047200
 H                  2.63032800   -3.29784800   -1.81777400
 H                  1.30147200   -2.96636500   -0.68916200
 H                  0.95619500   -3.62800800   -2.30507300
 O                  3.16281200    2.23091400   -1.38844000
 C                  4.36055300    2.41351900   -0.64069200
 H                  4.17375900    2.35176400    0.43506500
 H                  5.04525400    1.61647900   -0.92837100
 H                  4.82513000    3.37571000   -0.86973900
 H                  2.56856000    2.96195600   -1.19857000
 O                  3.61865300   -1.29346700    0.44916100
 C                  4.57462300   -0.71183000    1.31910600
 H                  4.85585400   -1.40370800    2.11954300
 H                  5.46489300   -0.47896700    0.73456700
 H                  4.19811100    0.21132000    1.77041500
 O                  1.12875700   -1.30199300    1.47935700
 H                  2.78800100   -1.42770500    0.95150500
 O                  1.50408800    0.97520800    1.28402600
 C                  1.17229500    2.33371000    1.42543700
 H                  2.08327000    2.93061500    1.33942300
 H                  0.46908700    2.66146300    0.65283300
 H                  0.72159600    2.53720000    2.40424900
 C                 -1.94877800    1.47936100   -0.23379700
 C                 -2.27698400    2.19498600   -1.38265800
 C                 -2.31841900    1.98774100    1.00687000
 C                 -2.96991300    3.39319900   -1.29300000
 H                 -1.98910600    1.80839500   -2.35268100
 C                 -3.00709500    3.18714200    1.09596500
 H                 -2.03530600    1.46716600    1.91186500
 C                 -3.33807200    3.89260500   -0.05278600
 H                 -3.21927200    3.93765900   -2.19571200
 H                 -3.27643900    3.57745600    2.06989500
 H                 -3.87427200    4.83094200    0.01998400
 C                 -2.00135000   -1.10358600   -0.23664000
 C                 -2.84587800   -1.29014000    0.85564000
 C                 -1.87703900   -2.12451600   -1.17151200
 C                 -3.52136700   -2.48566000    1.02500700
 H                 -2.95661300   -0.51227900    1.59856200
 C                 -2.55615400   -3.32315800   -1.00489900
 H                 -1.26070400   -1.97968200   -2.04804900
 C                 -3.37350000   -3.51060800    0.09813500
 H                 -4.16190700   -2.62195100    1.88771400
 H                 -2.44603600   -4.10876300   -1.74247300
 H                 -3.89984500   -4.44747700    0.23424300
0 1
 C                 -1.21813100    0.17090800   -0.45346200
 H                 -0.54269700    0.12085200    1.07320000
 B                  0.54864400   -0.00199100    1.75764200
 Na                 2.16296900    0.18701500   -0.81909500
 H                  0.19151000    0.15407700    2.92944200
 C                  0.48749900   -2.44461500    1.99215600
 H                  0.22339600   -2.31174100    3.04788700
 H                 -0.42566700   -2.68183300    1.43688800
 H                  1.16971600   -3.29362100    1.91197200
 O                 -0.27318200    0.16638500   -1.26731200
 O                  1.55209800   -1.63271500   -2.27308600
 H                  0.67933300   -1.25205800   -2.07985900
 C                  1.60116400   -2.94787300   -1.74047200
 H                  2.63032800   -3.29784800   -1.81777400
 H                  1.30147200   -2.96636500   -0.68916200
 H                  0.95619500   -3.62800800   -2.30507300
 O                  3.16281200    2.23091400   -1.38844000
 C                  4.36055300    2.41351900   -0.64069200
 H                  4.17375900    2.35176400    0.43506500
 H                  5.04525400    1.61647900   -0.92837100
 H                  4.82513000    3.37571000   -0.86973900
 H                  2.56856000    2.96195600   -1.19857000
 O                  3.61865300   -1.29346700    0.44916100
 C                  4.57462300   -0.71183000    1.31910600
 H                  4.85585400   -1.40370800    2.11954300
 H                  5.46489300   -0.47896700    0.73456700
 H                  4.19811100    0.21132000    1.77041500
 O                  1.12875700   -1.30199300    1.47935700
 H                  2.78800100   -1.42770500    0.95150500
 O                  1.50408800    0.97520800    1.28402600
 C                  1.17229500    2.33371000    1.42543700
 H                  2.08327000    2.93061500    1.33942300
 H                  0.46908700    2.66146300    0.65283300
 H                  0.72159600    2.53720000    2.40424900
 C                 -1.94877800    1.47936100   -0.23379700
 C                 -2.27698400    2.19498600   -1.38265800
 C                 -2.31841900    1.98774100    1.00687000
 C                 -2.96991300    3.39319900   -1.29300000
 H                 -1.98910600    1.80839500   -2.35268100
 C                 -3.00709500    3.18714200    1.09596500
 H                 -2.03530600    1.46716600    1.91186500
 C                 -3.33807200    3.89260500   -0.05278600
 H                 -3.21927200    3.93765900   -2.19571200
 H                 -3.27643900    3.57745600    2.06989500
 H                 -3.87427200    4.83094200    0.01998400
 C                 -2.00135000   -1.10358600   -0.23664000
 C                 -2.84587800   -1.29014000    0.85564000
 C                 -1.87703900   -2.12451600   -1.17151200
 C                 -3.52136700   -2.48566000    1.02500700
 H                 -2.95661300   -0.51227900    1.59856200
 C                 -2.55615400   -3.32315800   -1.00489900
 H                 -1.26070400   -1.97968200   -2.04804900
 C                 -3.37350000   -3.51060800    0.09813500
 H                 -4.16190700   -2.62195100    1.88771400
 H                 -2.44603600   -4.10876300   -1.74247300
 H                 -3.89984500   -4.44747700    0.23424300
0 1
 C                 -1.21813100    0.17090800   -0.45346200
 H                 -0.54269700    0.12085200    1.07320000
 B                  0.54864400   -0.00199100    1.75764200
 Na                 2.16296900    0.18701500   -0.81909500
 H                  0.19151000    0.15407700    2.92944200
 C                  0.48749900   -2.44461500    1.99215600
 H                  0.22339600   -2.31174100    3.04788700
 H                 -0.42566700   -2.68183300    1.43688800
 H                  1.16971600   -3.29362100    1.91197200
 O                 -0.27318200    0.16638500   -1.26731200
 O                  1.55209800   -1.63271500   -2.27308600
 H                  0.67933300   -1.25205800   -2.07985900
 C                  1.60116400   -2.94787300   -1.74047200
 H                  2.63032800   -3.29784800   -1.81777400
 H                  1.30147200   -2.96636500   -0.68916200
 H                  0.95619500   -3.62800800   -2.30507300
 O                  3.16281200    2.23091400   -1.38844000
 C                  4.36055300    2.41351900   -0.64069200
 H                  4.17375900    2.35176400    0.43506500
 H                  5.04525400    1.61647900   -0.92837100
 H                  4.82513000    3.37571000   -0.86973900
 H                  2.56856000    2.96195600   -1.19857000
 O                  3.61865300   -1.29346700    0.44916100
 C                  4.57462300   -0.71183000    1.31910600
 H                  4.85585400   -1.40370800    2.11954300
 H                  5.46489300   -0.47896700    0.73456700
 H                  4.19811100    0.21132000    1.77041500
 O                  1.12875700   -1.30199300    1.47935700
 H                  2.78800100   -1.42770500    0.95150500
 O                  1.50408800    0.97520800    1.28402600
 C                  1.17229500    2.33371000    1.42543700
 H                  2.08327000    2.93061500    1.33942300
 H                  0.46908700    2.66146300    0.65283300
 H                  0.72159600    2.53720000    2.40424900
 C                 -1.94877800    1.47936100   -0.23379700
 C                 -2.27698400    2.19498600   -1.38265800
 C                 -2.31841900    1.98774100    1.00687000
 C                 -2.96991300    3.39319900   -1.29300000
 H                 -1.98910600    1.80839500   -2.35268100
 C                 -3.00709500    3.18714200    1.09596500
 H                 -2.03530600    1.46716600    1.91186500
 C                 -3.33807200    3.89260500   -0.05278600
 H                 -3.21927200    3.93765900   -2.19571200
 H                 -3.27643900    3.57745600    2.06989500
 H                 -3.87427200    4.83094200    0.01998400
 C                 -2.00135000   -1.10358600   -0.23664000
 C                 -2.84587800   -1.29014000    0.85564000
 C                 -1.87703900   -2.12451600   -1.17151200
 C                 -3.52136700   -2.48566000    1.02500700
 H                 -2.95661300   -0.51227900    1.59856200
 C                 -2.55615400   -3.32315800   -1.00489900
 H                 -1.26070400   -1.97968200   -2.04804900
 C                 -3.37350000   -3.51060800    0.09813500
 H                 -4.16190700   -2.62195100    1.88771400
 H                 -2.44603600   -4.10876300   -1.74247300
 H                 -3.89984500   -4.44747700    0.23424300</t>
    <phoneticPr fontId="1"/>
  </si>
  <si>
    <r>
      <t>[Na((MeO)</t>
    </r>
    <r>
      <rPr>
        <vertAlign val="subscript"/>
        <sz val="10"/>
        <color theme="6"/>
        <rFont val="Arial"/>
        <family val="2"/>
      </rPr>
      <t>2</t>
    </r>
    <r>
      <rPr>
        <sz val="10"/>
        <color theme="6"/>
        <rFont val="Arial"/>
        <family val="2"/>
      </rPr>
      <t>BH)(PhMeCO)(MeOH)</t>
    </r>
    <r>
      <rPr>
        <vertAlign val="subscript"/>
        <sz val="10"/>
        <color theme="6"/>
        <rFont val="Arial"/>
        <family val="2"/>
      </rPr>
      <t>3</t>
    </r>
    <r>
      <rPr>
        <sz val="10"/>
        <color theme="6"/>
        <rFont val="Arial"/>
        <family val="2"/>
      </rPr>
      <t>]</t>
    </r>
    <r>
      <rPr>
        <vertAlign val="superscript"/>
        <sz val="10"/>
        <color theme="6"/>
        <rFont val="Arial"/>
        <family val="2"/>
      </rPr>
      <t>‡</t>
    </r>
    <phoneticPr fontId="1"/>
  </si>
  <si>
    <t>0 1
 C                  1.34446200   -0.88058600    0.64586900
 H                  0.81410500   -0.82239600   -0.86441300
 B                 -0.18316400   -0.53630200   -1.66162300
 Na                -1.65036200    0.59520300    0.79261300
 H                  0.30465100   -0.64113400   -2.78813900
 C                 -1.14844900   -2.76086000   -1.90419700
 H                 -1.19833100   -2.74901900   -2.99920200
 H                 -0.20837100   -3.23880400   -1.60966400
 H                 -1.97584400   -3.36380000   -1.52504300
 O                  0.54134500   -0.23182700    1.35998000
 O                 -1.75113000   -1.17506800    2.48595900
 H                 -0.80782300   -1.12998200    2.24061100
 C                 -2.28861100   -2.41109100    2.04404000
 H                 -3.35926600   -2.39895800    2.24841300
 H                 -2.14102600   -2.55542500    0.96940800
 H                 -1.83959300   -3.25392000    2.57855100
 O                 -1.79419900    2.91527900    1.09940900
 C                 -2.76068400    3.45988700    0.20702600
 H                 -2.53665700    3.19995100   -0.83148500
 H                 -3.72667800    3.03609200    0.47908900
 H                 -2.81484500    4.54720900    0.30112800
 H                 -0.94494800    3.32676900    0.91741200
 O                 -3.52033400   -0.36943100   -0.40041600
 C                 -4.17868400    0.43559800   -1.36393900
 H                 -4.70767300   -0.17898600   -2.09930200
 H                 -4.90799200    1.05638200   -0.84328300
 H                 -3.47482600    1.08616000   -1.89228500
 O                 -1.25879600   -1.46043900   -1.37776800
 H                 -2.81543000   -0.87376600   -0.85773200
 O                 -0.65167200    0.78494400   -1.32351600
 C                  0.25661800    1.84087100   -1.52479500
 H                 -0.26035400    2.78794400   -1.35636100
 H                  1.10603800    1.78126300   -0.83615400
 H                  0.64724500    1.83916000   -2.54955600
 C                  1.30502400   -2.38931400    0.72108600
 H                  1.76719200   -2.67580000    1.67141200
 H                  0.27097600   -2.73208600    0.72118200
 H                  1.85044000   -2.87341300   -0.08613700
 C                  2.67416800   -0.24761500    0.30680100
 C                  3.11538500    0.83096000    1.06476700
 C                  3.47744600   -0.72330800   -0.72637500
 C                  4.34035200    1.42566400    0.79652400
 H                  2.49473900    1.20407300    1.86944400
 C                  4.69725100   -0.12722100   -0.99872400
 H                  3.13616900   -1.54705800   -1.34178900
 C                  5.13343400    0.94969900   -0.23646500
 H                  4.67421100    2.26349500    1.39675400
 H                  5.30816300   -0.49948600   -1.81213900
 H                  6.08754900    1.41605300   -0.45025200</t>
    <phoneticPr fontId="1"/>
  </si>
  <si>
    <r>
      <t>[Na((MeO)</t>
    </r>
    <r>
      <rPr>
        <vertAlign val="subscript"/>
        <sz val="10"/>
        <color theme="6"/>
        <rFont val="Arial"/>
        <family val="2"/>
      </rPr>
      <t>2</t>
    </r>
    <r>
      <rPr>
        <sz val="10"/>
        <color theme="6"/>
        <rFont val="Arial"/>
        <family val="2"/>
      </rPr>
      <t>BH)(4-NO</t>
    </r>
    <r>
      <rPr>
        <vertAlign val="subscript"/>
        <sz val="10"/>
        <color theme="6"/>
        <rFont val="Arial"/>
        <family val="2"/>
      </rPr>
      <t>2</t>
    </r>
    <r>
      <rPr>
        <sz val="10"/>
        <color theme="6"/>
        <rFont val="Arial"/>
        <family val="2"/>
      </rPr>
      <t>PhMeCO)(MeOH)</t>
    </r>
    <r>
      <rPr>
        <vertAlign val="subscript"/>
        <sz val="10"/>
        <color theme="6"/>
        <rFont val="Arial"/>
        <family val="2"/>
      </rPr>
      <t>3</t>
    </r>
    <r>
      <rPr>
        <sz val="10"/>
        <color theme="6"/>
        <rFont val="Arial"/>
        <family val="2"/>
      </rPr>
      <t>]</t>
    </r>
    <r>
      <rPr>
        <vertAlign val="superscript"/>
        <sz val="10"/>
        <color theme="6"/>
        <rFont val="Arial"/>
        <family val="2"/>
      </rPr>
      <t>‡</t>
    </r>
    <phoneticPr fontId="1"/>
  </si>
  <si>
    <t>0 1
 C                  0.38778300   -1.12277700    0.74840200
 H                 -0.04067100   -0.97995900   -0.83222200
 B                 -0.96804000   -0.55755500   -1.64624500
 Na                -2.41908000    0.71315000    0.75408000
 H                 -0.46984600   -0.70372900   -2.76417100
 C                 -2.19457000   -2.63995700   -1.95378100
 H                 -2.21560200   -2.60908500   -3.04937100
 H                 -1.32525600   -3.23001100   -1.64498900
 H                 -3.09677200   -3.14461100   -1.60268400
 O                 -0.33648100   -0.35258800    1.41274200
 O                 -2.81027800   -1.01329100    2.43201800
 H                 -1.85770800   -1.10683300    2.25666600
 C                 -3.48720700   -2.16776700    1.95955500
 H                 -4.55482100   -2.00779700    2.10938800
 H                 -3.30612500   -2.33470200    0.89336900
 H                 -3.18477600   -3.06075300    2.51469300
 O                 -2.27411200    3.03335200    1.08047100
 C                 -3.09861000    3.70130500    0.13074200
 H                 -2.85657100    3.39804000   -0.89187400
 H                 -4.12986700    3.42586400    0.34836600
 H                 -2.99869600    4.78600100    0.21670900
 H                 -1.36593400    3.32184500    0.95389700
 O                 -4.32440900    0.00421900   -0.54184800
 C                 -4.82396000    0.89368800   -1.52657100
 H                 -5.38677900    0.35666000   -2.29667100
 H                 -5.49535200    1.59827200   -1.03555400
 H                 -4.01647500    1.45334900   -2.00877200
 O                 -2.16184500   -1.34212500   -1.41069300
 H                 -3.66372800   -0.57996100   -0.96939400
 O                 -1.27554700    0.80800300   -1.29640800
 C                 -0.23074600    1.73783400   -1.44406800
 H                 -0.62022400    2.74102100   -1.25912900
 H                  0.58406400    1.54711300   -0.73709900
 H                  0.18500900    1.71131300   -2.45858900
 C                  0.11330800   -2.60520000    0.80266100
 H                  0.46293000   -2.96007700    1.77753600
 H                 -0.95938500   -2.78178300    0.73338500
 H                  0.62747900   -3.16758100    0.02684600
 C                  1.81131000   -0.69595900    0.46165900
 C                  2.36850900    0.31267900    1.23946800
 C                  2.57657700   -1.29743200   -0.53437400
 C                  3.67341100    0.72227000    1.03376800
 H                  1.77529300    0.78006600    2.01355200
 C                  3.87866700   -0.89893100   -0.75722900
 H                  2.14617900   -2.06589000   -1.16294200
 C                  4.40753200    0.10778500    0.03550200
 H                  4.11113100    1.50328700    1.63826200
 H                  4.47229500   -1.35620500   -1.53519000
 N                  5.78605900    0.53566000   -0.19292200
 O                  6.42282400   -0.01240500   -1.07146600
 O                  6.23933000    1.42163800    0.50497900</t>
    <phoneticPr fontId="1"/>
  </si>
  <si>
    <r>
      <t>[Na((MeO)</t>
    </r>
    <r>
      <rPr>
        <vertAlign val="subscript"/>
        <sz val="10"/>
        <color theme="6"/>
        <rFont val="Arial"/>
        <family val="2"/>
      </rPr>
      <t>2</t>
    </r>
    <r>
      <rPr>
        <sz val="10"/>
        <color theme="6"/>
        <rFont val="Arial"/>
        <family val="2"/>
      </rPr>
      <t>BH)(4-MeOPhMeCO)(MeOH)</t>
    </r>
    <r>
      <rPr>
        <vertAlign val="subscript"/>
        <sz val="10"/>
        <color theme="6"/>
        <rFont val="Arial"/>
        <family val="2"/>
      </rPr>
      <t>3</t>
    </r>
    <r>
      <rPr>
        <sz val="10"/>
        <color theme="6"/>
        <rFont val="Arial"/>
        <family val="2"/>
      </rPr>
      <t>]</t>
    </r>
    <r>
      <rPr>
        <vertAlign val="superscript"/>
        <sz val="10"/>
        <color theme="6"/>
        <rFont val="Arial"/>
        <family val="2"/>
      </rPr>
      <t>‡</t>
    </r>
    <phoneticPr fontId="1"/>
  </si>
  <si>
    <t>0 1
 C                  0.56980100   -1.18083900    0.66045100
 H                  0.06888400   -1.04772500   -0.82973400
 B                 -0.85204200   -0.60601000   -1.65548700
 Na                -2.13514200    0.75852900    0.78015600
 H                 -0.36095800   -0.80527100   -2.76687600
 C                 -2.17190300   -2.63862000   -1.90760800
 H                 -2.21203500   -2.62455600   -3.00292100
 H                 -1.32474700   -3.26225100   -1.60401100
 H                 -3.08939800   -3.09543800   -1.53168900
 O                 -0.12485700   -0.41023300    1.37445800
 O                 -2.53102900   -0.97119000    2.49237600
 H                 -1.59140400   -1.06603000    2.24231600
 C                 -3.25016200   -2.10553900    2.03728900
 H                 -4.30765000   -1.92991500    2.23563800
 H                 -3.11979700   -2.26338900    0.96226200
 H                 -2.94103300   -3.01207600    2.56698100
 O                 -1.84324500    3.06550100    1.09108200
 C                 -2.69114000    3.79420000    0.20944800
 H                 -2.52517400    3.50722500   -0.83287200
 H                 -3.71925000    3.55988100    0.48304500
 H                 -2.53601900    4.87077900    0.31424300
 H                 -0.93105000    3.30923100    0.91053300
 O                 -4.12545300    0.12078800   -0.42167900
 C                 -4.62084300    1.04031400   -1.38069500
 H                 -5.23407900    0.53572100   -2.13397900
 H                 -5.24253900    1.76837700   -0.85939600
 H                 -3.80762100    1.56926600   -1.88743100
 O                 -2.07106900   -1.33452000   -1.38773300
 H                 -3.51634500   -0.49602700   -0.87830400
 O                 -1.09647100    0.77679000   -1.33599500
 C                 -0.03010400    1.66976300   -1.54973800
 H                 -0.38942500    2.68971100   -1.39838800
 H                  0.79743500    1.48575900   -0.85663600
 H                  0.35677800    1.58884500   -2.57264600
 C                  0.28375700   -2.66364500    0.74273800
 H                  0.67449400   -3.01560000    1.70296100
 H                 -0.79224400   -2.83357900    0.72304300
 H                  0.75695800   -3.23639700   -0.05203500
 C                  1.98417300   -0.77329200    0.34140400
 C                  2.57603800    0.24894300    1.06665100
 C                  2.73300700   -1.39507500   -0.65867300
 C                  3.88232500    0.65311400    0.82037000
 H                  2.00888200    0.74348000    1.84507200
 C                  4.02752400   -1.00367600   -0.92183000
 H                  2.28963900   -2.17905900   -1.26076600
 C                  4.61349500    0.02477500   -0.18066700
 H                  4.31096900    1.44981900    1.41185000
 H                  4.60359700   -1.47989000   -1.70577400
 O                  5.88843900    0.33892300   -0.50822400
 C                  6.52952400    1.38332100    0.20553200
 H                  6.60492300    1.14671400    1.27008700
 H                  7.52886900    1.46538500   -0.21680800
 H                  6.00264000    2.33231700    0.07564200</t>
    <phoneticPr fontId="1"/>
  </si>
  <si>
    <r>
      <t>Na((MeO)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BH)(</t>
    </r>
    <r>
      <rPr>
        <i/>
        <sz val="10"/>
        <rFont val="Arial"/>
        <family val="2"/>
      </rPr>
      <t>eq</t>
    </r>
    <r>
      <rPr>
        <sz val="10"/>
        <rFont val="Arial"/>
        <family val="2"/>
      </rPr>
      <t>-CyO)(MeOH)</t>
    </r>
    <r>
      <rPr>
        <vertAlign val="subscript"/>
        <sz val="10"/>
        <rFont val="Arial"/>
        <family val="2"/>
      </rPr>
      <t>4</t>
    </r>
    <phoneticPr fontId="1"/>
  </si>
  <si>
    <t>0 1
 C                  4.11588900   -1.56901500    0.29950600
 C                  2.94573500   -1.72132100   -0.66987800
 C                  2.37830800    0.69740300   -0.38656700
 C                  3.54008200    0.86549500    0.58854600
 C                  4.65260800   -0.14004400    0.30469400
 H                  3.29202000   -1.55619400   -1.69834100
 H                  2.54359200   -2.73868800   -0.62695600
 H                  3.78129500   -1.82839600    1.31096700
 H                  4.91385700   -2.27211400    0.04524000
 H                  2.71095900    0.93316800   -1.40573600
 H                  1.57586100    1.39910200   -0.14520500
 H                  3.92954400    1.88632100    0.54226500
 H                  3.17427400    0.71597700    1.61157000
 H                  5.09370500    0.08105700   -0.67423800
 H                  5.45338400   -0.03872900    1.04240000
 C                  1.81457900   -0.72739900   -0.38421700
 H                  1.49484400   -0.92775300    0.66030400
 B                 -0.30983800    0.50718600    1.96434700
 Na                -1.46371900   -0.44516600   -0.89915200
 H                  0.57890700    0.37977400    2.75395100
 C                  0.10484700    2.89193900    1.73535100
 H                  0.98112700    2.66243300    2.34360400
 H                  0.42388000    3.35715200    0.80220800
 H                 -0.54384600    3.58123200    2.27706500
 O                  0.74859300   -0.88123600   -1.25545200
 O                 -0.27432000    0.87397400   -2.77156500
 H                  0.30544700    0.25979600   -2.20264700
 C                 -0.13480300    2.20611400   -2.32973600
 H                 -0.89726400    2.81743900   -2.81745000
 H                 -0.27042400    2.29900800   -1.24572000
 H                  0.84822400    2.62043600   -2.58388600
 O                 -2.74687900   -2.40432200   -0.75420200
 C                 -3.93594500   -2.31633000    0.02219500
 H                 -3.72008500   -2.01812800    1.05198600
 H                 -4.57023400   -1.56197700   -0.44085000
 H                 -4.47148000   -3.26893900    0.02985400
 H                 -2.21369400   -3.13021400   -0.41884400
 O                 -2.77733900    1.49220400   -0.35713000
 C                 -3.97748700    1.30680100    0.37889500
 H                 -4.33661200    2.25395900    0.79196800
 H                 -4.73001800    0.91858600   -0.30659300
 H                 -3.84042200    0.59300100    1.19661000
 O                 -0.62800100    1.71339700    1.42674300
 H                 -2.09653300    1.80835100    0.25831700
 O                 -1.07109000   -0.53824800    1.54908500
 C                 -0.77746700   -1.87031400    1.95203300
 H                 -1.70342600   -2.34739900    2.27260000
 H                 -0.36175100   -2.41851800    1.10473000
 H                 -0.06081900   -1.88495200    2.77500400</t>
    <phoneticPr fontId="1"/>
  </si>
  <si>
    <r>
      <t>(MeO)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BH (via CyO reduction)</t>
    </r>
    <phoneticPr fontId="1"/>
  </si>
  <si>
    <r>
      <t>MeOH</t>
    </r>
    <r>
      <rPr>
        <sz val="10"/>
        <color theme="1"/>
        <rFont val="游ゴシック"/>
        <family val="2"/>
        <charset val="128"/>
      </rPr>
      <t>・</t>
    </r>
    <r>
      <rPr>
        <sz val="10"/>
        <color theme="1"/>
        <rFont val="Arial"/>
        <family val="2"/>
      </rPr>
      <t>(MeO)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BH (via CyO reduction)</t>
    </r>
    <phoneticPr fontId="1"/>
  </si>
  <si>
    <r>
      <t>(MeO)</t>
    </r>
    <r>
      <rPr>
        <vertAlign val="subscript"/>
        <sz val="10"/>
        <color theme="1"/>
        <rFont val="Arial"/>
        <family val="2"/>
      </rPr>
      <t>3</t>
    </r>
    <r>
      <rPr>
        <sz val="10"/>
        <color theme="1"/>
        <rFont val="Arial"/>
        <family val="2"/>
      </rPr>
      <t>BH</t>
    </r>
    <r>
      <rPr>
        <vertAlign val="superscript"/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 xml:space="preserve"> (via CyO reduction)</t>
    </r>
    <phoneticPr fontId="1"/>
  </si>
  <si>
    <r>
      <t>Na((MeO)</t>
    </r>
    <r>
      <rPr>
        <vertAlign val="subscript"/>
        <sz val="10"/>
        <color theme="1"/>
        <rFont val="Arial"/>
        <family val="2"/>
      </rPr>
      <t>3</t>
    </r>
    <r>
      <rPr>
        <sz val="10"/>
        <color theme="1"/>
        <rFont val="Arial"/>
        <family val="2"/>
      </rPr>
      <t>BH)(MeOH)</t>
    </r>
    <r>
      <rPr>
        <vertAlign val="subscript"/>
        <sz val="10"/>
        <color theme="1"/>
        <rFont val="Arial"/>
        <family val="2"/>
      </rPr>
      <t>4</t>
    </r>
    <r>
      <rPr>
        <sz val="10"/>
        <color theme="1"/>
        <rFont val="Arial"/>
        <family val="2"/>
      </rPr>
      <t xml:space="preserve"> (via CyO reduction)</t>
    </r>
    <phoneticPr fontId="1"/>
  </si>
  <si>
    <r>
      <t>11_(MeO)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>BH reduction</t>
    </r>
    <phoneticPr fontId="1"/>
  </si>
  <si>
    <r>
      <rPr>
        <sz val="10"/>
        <color theme="1" tint="0.499984740745262"/>
        <rFont val="游ゴシック"/>
        <family val="2"/>
        <charset val="128"/>
      </rPr>
      <t>[CyO・(MeO)</t>
    </r>
    <r>
      <rPr>
        <vertAlign val="subscript"/>
        <sz val="10"/>
        <color theme="1" tint="0.499984740745262"/>
        <rFont val="游ゴシック"/>
        <family val="3"/>
        <charset val="128"/>
      </rPr>
      <t>2</t>
    </r>
    <r>
      <rPr>
        <sz val="10"/>
        <color theme="1" tint="0.499984740745262"/>
        <rFont val="Arial"/>
        <family val="2"/>
      </rPr>
      <t>BH</t>
    </r>
    <r>
      <rPr>
        <sz val="10"/>
        <color theme="1" tint="0.499984740745262"/>
        <rFont val="游ゴシック"/>
        <family val="2"/>
        <charset val="128"/>
      </rPr>
      <t>・</t>
    </r>
    <r>
      <rPr>
        <sz val="10"/>
        <color theme="1" tint="0.499984740745262"/>
        <rFont val="Arial"/>
        <family val="2"/>
      </rPr>
      <t>MeOH]</t>
    </r>
    <r>
      <rPr>
        <vertAlign val="superscript"/>
        <sz val="10"/>
        <color theme="1" tint="0.499984740745262"/>
        <rFont val="游ゴシック"/>
        <family val="3"/>
        <charset val="128"/>
      </rPr>
      <t>‡</t>
    </r>
    <phoneticPr fontId="1"/>
  </si>
  <si>
    <t>no ts</t>
    <phoneticPr fontId="1"/>
  </si>
  <si>
    <r>
      <t>CyO</t>
    </r>
    <r>
      <rPr>
        <sz val="10"/>
        <color theme="1" tint="0.499984740745262"/>
        <rFont val="游ゴシック"/>
        <family val="2"/>
        <charset val="128"/>
      </rPr>
      <t>・(</t>
    </r>
    <r>
      <rPr>
        <sz val="10"/>
        <color theme="1" tint="0.499984740745262"/>
        <rFont val="Arial"/>
        <family val="2"/>
      </rPr>
      <t>MeO)</t>
    </r>
    <r>
      <rPr>
        <vertAlign val="subscript"/>
        <sz val="10"/>
        <color theme="1" tint="0.499984740745262"/>
        <rFont val="Arial"/>
        <family val="2"/>
      </rPr>
      <t>2</t>
    </r>
    <r>
      <rPr>
        <sz val="10"/>
        <color theme="1" tint="0.499984740745262"/>
        <rFont val="Arial"/>
        <family val="2"/>
      </rPr>
      <t>BH</t>
    </r>
    <phoneticPr fontId="1"/>
  </si>
  <si>
    <t>0 1
 C                  2.12125600    1.36902700    0.12260300
 C                  1.18556600    0.59942500    1.07707300
 C                  1.98070100   -1.58513400    0.09596600
 C                  2.92195100   -0.81072000   -0.85041700
 C                  3.33548200    0.52945700   -0.25518900
 H                  1.73431600    0.37067900    1.99596800
 H                  0.30198400    1.17536100    1.33022400
 H                  1.55959000    1.64425800   -0.77440700
 H                  2.42275700    2.29377800    0.61520500
 H                  2.52034000   -1.82561800    1.01657600
 H                  1.61461400   -2.50347800   -0.35898600
 H                  3.79270800   -1.43477800   -1.05337000
 H                  2.40805600   -0.64995300   -1.80227600
 H                  3.94927400    0.35915400    0.63491600
 H                  3.95171500    1.07522600   -0.97245200
 C                  0.84337800   -0.70185100    0.45264700
 O                 -0.30511500   -1.05563400    0.14661700
 B                 -1.64273500   -0.18818800    0.27746700
 H                 -1.75257800    0.17477900    1.44167600
 O                 -2.60824600   -1.17993700   -0.11575400
 C                 -3.94485100   -0.74114000   -0.07358000
 H                 -4.14163900    0.04003500   -0.81797400
 H                 -4.59892900   -1.58864100   -0.28915100
 H                 -4.20908800   -0.34369300    0.91568000
 O                 -1.48872800    0.90049500   -0.64821200
 C                 -1.83408400    2.19869000   -0.22850300
 H                 -1.60064300    2.89686100   -1.03526800
 H                 -2.90326800    2.28308100   -0.00155100
 H                 -1.27521800    2.50797500    0.66303900</t>
    <phoneticPr fontId="1"/>
  </si>
  <si>
    <r>
      <t>[</t>
    </r>
    <r>
      <rPr>
        <i/>
        <sz val="10"/>
        <color theme="1" tint="0.499984740745262"/>
        <rFont val="Arial"/>
        <family val="2"/>
      </rPr>
      <t>eq</t>
    </r>
    <r>
      <rPr>
        <sz val="10"/>
        <color theme="1" tint="0.499984740745262"/>
        <rFont val="Arial"/>
        <family val="2"/>
      </rPr>
      <t>-CyO</t>
    </r>
    <r>
      <rPr>
        <sz val="10"/>
        <color theme="1" tint="0.499984740745262"/>
        <rFont val="游ゴシック"/>
        <family val="2"/>
        <charset val="128"/>
      </rPr>
      <t>・</t>
    </r>
    <r>
      <rPr>
        <sz val="10"/>
        <color theme="1" tint="0.499984740745262"/>
        <rFont val="Arial"/>
        <family val="2"/>
      </rPr>
      <t>(MeO)</t>
    </r>
    <r>
      <rPr>
        <vertAlign val="subscript"/>
        <sz val="10"/>
        <color theme="1" tint="0.499984740745262"/>
        <rFont val="Arial"/>
        <family val="2"/>
      </rPr>
      <t>2</t>
    </r>
    <r>
      <rPr>
        <sz val="10"/>
        <color theme="1" tint="0.499984740745262"/>
        <rFont val="Arial"/>
        <family val="2"/>
      </rPr>
      <t>BH]</t>
    </r>
    <r>
      <rPr>
        <vertAlign val="superscript"/>
        <sz val="10"/>
        <color theme="1" tint="0.499984740745262"/>
        <rFont val="游ゴシック"/>
        <family val="3"/>
        <charset val="128"/>
      </rPr>
      <t>‡</t>
    </r>
    <phoneticPr fontId="1"/>
  </si>
  <si>
    <t>0 1
 B                 -1.22011100    0.04454200   -0.08139400
 H                 -0.23832300    0.31053400   -0.83265700
 O                 -0.49552600   -0.43946400    1.26164600
 C                  0.65696000   -0.26729600    0.71277900
 C                  1.41968000    0.98177400    0.97599900
 C                  1.37936200   -1.42975300    0.13205200
 C                  2.43653300    1.32205900   -0.11034500
 H                  1.93997300    0.75786200    1.91886400
 H                  0.72502900    1.79565700    1.18067500
 C                  2.39698400   -1.04881200   -0.93982400
 H                  1.89561900   -1.85717600    1.00426700
 H                  0.65905500   -2.17296500   -0.20782300
 C                  3.27886100    0.11146200   -0.49411500
 H                  3.06858500    2.13816600    0.24200500
 H                  1.89906600    1.68757600   -0.99024600
 H                  3.00081500   -1.92492000   -1.17956300
 H                  1.85794600   -0.77017000   -1.84998800
 H                  3.96886700    0.38047000   -1.29612100
 H                  3.88645800   -0.19819200    0.36255300
 O                 -1.91953900   -1.03731500   -0.67744800
 C                 -3.02262700   -1.55215100    0.04243600
 H                 -3.78607800   -0.78630400    0.21531100
 H                 -3.46625700   -2.35750300   -0.54505000
 H                 -2.71427700   -1.95955200    1.01163300
 O                 -1.93775800    1.21149100    0.30423400
 C                 -2.50839300    1.94748700   -0.75640000
 H                 -3.24411400    1.35528700   -1.31233900
 H                 -3.01256400    2.81987700   -0.33746300
 H                 -1.74083400    2.29232600   -1.46003400</t>
    <phoneticPr fontId="1"/>
  </si>
  <si>
    <r>
      <t>[ax-CyO</t>
    </r>
    <r>
      <rPr>
        <sz val="10"/>
        <color theme="1" tint="0.499984740745262"/>
        <rFont val="游ゴシック"/>
        <family val="2"/>
        <charset val="128"/>
      </rPr>
      <t>・</t>
    </r>
    <r>
      <rPr>
        <sz val="10"/>
        <color theme="1" tint="0.499984740745262"/>
        <rFont val="Arial"/>
        <family val="2"/>
      </rPr>
      <t>(MeO)</t>
    </r>
    <r>
      <rPr>
        <vertAlign val="subscript"/>
        <sz val="10"/>
        <color theme="1" tint="0.499984740745262"/>
        <rFont val="Arial"/>
        <family val="2"/>
      </rPr>
      <t>2</t>
    </r>
    <r>
      <rPr>
        <sz val="10"/>
        <color theme="1" tint="0.499984740745262"/>
        <rFont val="Arial"/>
        <family val="2"/>
      </rPr>
      <t>BH]</t>
    </r>
    <r>
      <rPr>
        <vertAlign val="superscript"/>
        <sz val="10"/>
        <color theme="1" tint="0.499984740745262"/>
        <rFont val="游ゴシック"/>
        <family val="3"/>
        <charset val="128"/>
      </rPr>
      <t>‡</t>
    </r>
    <phoneticPr fontId="1"/>
  </si>
  <si>
    <t>0 1
 B                  1.39503800    0.03723500    0.19888000
 H                  0.75760900    0.36095700    1.24239500
 O                  0.20917300   -0.23249900   -0.83674600
 C                 -0.65860500    0.03157500    0.07923800
 C                 -1.35200100   -1.07309800    0.79221900
 C                 -1.32557700    1.35981800    0.11451600
 C                 -2.71548300   -1.25046000    0.08371500
 H                 -1.52308600   -0.78542100    1.83038900
 H                 -0.75924400   -1.98465100    0.75003900
 C                 -2.68935700    1.17386100   -0.59078700
 H                 -1.49667000    1.65294400    1.15117400
 H                 -0.71452500    2.10635400   -0.38904200
 C                 -3.49784300    0.05729300    0.05928000
 H                 -3.26804000   -2.03109300    0.60740500
 H                 -2.54375100   -1.60177800   -0.93755300
 H                 -3.22323300    2.12365500   -0.54773200
 H                 -2.51706200    0.94435900   -1.64601300
 H                 -4.43462500   -0.08376500   -0.48352600
 H                 -3.75765700    0.34482500    1.08285500
 O                  2.08104200   -1.17163600    0.48810100
 C                  2.79853700   -1.76437200   -0.57681000
 H                  3.56609300   -1.09091500   -0.97261900
 H                  3.28772800   -2.66324900   -0.19829800
 H                  2.13271600   -2.05190000   -1.39804400
 O                  2.11360900    1.13120900   -0.36021900
 C                  3.12271000    1.67546900    0.46327000
 H                  3.90216600    0.93961700    0.69105300
 H                  3.58227200    2.51309800   -0.06394200
 H                  2.70924900    2.04368400    1.41013500</t>
    <phoneticPr fontId="1"/>
  </si>
  <si>
    <r>
      <rPr>
        <i/>
        <sz val="10"/>
        <color theme="1" tint="0.499984740745262"/>
        <rFont val="Arial"/>
        <family val="2"/>
      </rPr>
      <t>eq</t>
    </r>
    <r>
      <rPr>
        <sz val="10"/>
        <color theme="1" tint="0.499984740745262"/>
        <rFont val="Arial"/>
        <family val="2"/>
      </rPr>
      <t>-CyOH</t>
    </r>
    <r>
      <rPr>
        <sz val="10"/>
        <color theme="1" tint="0.499984740745262"/>
        <rFont val="ＭＳ Ｐゴシック"/>
        <family val="3"/>
        <charset val="128"/>
      </rPr>
      <t>・</t>
    </r>
    <r>
      <rPr>
        <sz val="10"/>
        <color theme="1" tint="0.499984740745262"/>
        <rFont val="Arial"/>
        <family val="3"/>
      </rPr>
      <t>(</t>
    </r>
    <r>
      <rPr>
        <sz val="10"/>
        <color theme="1" tint="0.499984740745262"/>
        <rFont val="Arial"/>
        <family val="2"/>
      </rPr>
      <t>MeO)</t>
    </r>
    <r>
      <rPr>
        <vertAlign val="subscript"/>
        <sz val="10"/>
        <color theme="1" tint="0.499984740745262"/>
        <rFont val="Arial"/>
        <family val="2"/>
      </rPr>
      <t>2</t>
    </r>
    <r>
      <rPr>
        <sz val="10"/>
        <color theme="1" tint="0.499984740745262"/>
        <rFont val="Arial"/>
        <family val="2"/>
      </rPr>
      <t>B</t>
    </r>
    <phoneticPr fontId="1"/>
  </si>
  <si>
    <t>0 1
 C                 -2.63053100    1.32585700   -0.53129200
 C                 -1.28045100    0.70312500   -0.87871600
 C                 -1.87572700   -1.34482500    0.44575300
 C                 -3.22777900   -0.72865900    0.79646900
 C                 -3.68708200    0.25447900   -0.27671400
 H                 -1.35729600    0.15247100   -1.82278800
 H                 -0.52221100    1.47875700   -1.01229700
 H                 -2.52159700    1.94550400    0.36578800
 H                 -2.94843100    1.99144800   -1.33707600
 H                 -1.96840900   -1.94810700   -0.46408700
 H                 -1.53514300   -2.00807200    1.24474000
 H                 -3.96938400   -1.51925300    0.93155400
 H                 -3.14750500   -0.20390400    1.75499400
 H                 -3.87716400   -0.29161400   -1.20755300
 H                 -4.63142200    0.71903900    0.01770900
 C                 -0.83234900   -0.26746400    0.20425200
 O                  0.38845200   -0.90878500   -0.17085600
 B                  1.60766600   -0.30364900   -0.02700300
 H                 -0.67250100    0.28492700    1.13612400
 O                  2.63636600   -0.98940800   -0.61348800
 C                  4.00466300   -0.85024300   -0.26472900
 H                  4.13142800   -0.70690300    0.80999900
 H                  4.50925900   -1.77239800   -0.55373500
 H                  4.46590600   -0.01796700   -0.79920600
 O                  1.68687700    0.86977800    0.66678900
 C                  2.74378700    1.81139300    0.56658200
 H                  2.34576400    2.77888400    0.87294700
 H                  3.57101600    1.54783400    1.22744500
 H                  3.10861000    1.89293400   -0.45874000</t>
    <phoneticPr fontId="1"/>
  </si>
  <si>
    <r>
      <t>(MeO)</t>
    </r>
    <r>
      <rPr>
        <vertAlign val="subscript"/>
        <sz val="10"/>
        <color theme="1" tint="0.499984740745262"/>
        <rFont val="Arial"/>
        <family val="2"/>
      </rPr>
      <t>3</t>
    </r>
    <r>
      <rPr>
        <sz val="10"/>
        <color theme="1" tint="0.499984740745262"/>
        <rFont val="Arial"/>
        <family val="2"/>
      </rPr>
      <t>B</t>
    </r>
    <phoneticPr fontId="1"/>
  </si>
  <si>
    <t>0 1
 O                 -1.44353000   -0.83680500   -0.03820700
 B                 -0.19091800   -0.28087900   -0.02433900
 C                 -2.59947600   -0.01796900    0.03944700
 H                 -2.62803500    0.70618900   -0.77807100
 H                 -3.46845500   -0.67130700   -0.03611200
 H                 -2.64116600    0.51722600    0.99097600
 O                  0.81547600   -1.18568000   -0.21443600
 C                  2.17406400   -0.98754400    0.14413200
 H                  2.63111600   -1.97282400    0.23693900
 H                  2.70841900   -0.42607500   -0.62405600
 H                  2.26377500   -0.47110000    1.10144700
 O                 -0.08698700    1.06520200    0.16973800
 C                  1.05569800    1.85970000   -0.10979900
 H                  0.71669800    2.89175200   -0.19908200
 H                  1.78514300    1.79970100    0.69926200
 H                  1.52569700    1.56396700   -1.04904200</t>
    <phoneticPr fontId="1"/>
  </si>
  <si>
    <r>
      <t>12_(MeO)</t>
    </r>
    <r>
      <rPr>
        <b/>
        <vertAlign val="subscript"/>
        <sz val="10"/>
        <rFont val="Arial"/>
        <family val="2"/>
      </rPr>
      <t>3</t>
    </r>
    <r>
      <rPr>
        <b/>
        <sz val="10"/>
        <rFont val="Arial"/>
        <family val="2"/>
      </rPr>
      <t>BH</t>
    </r>
    <r>
      <rPr>
        <b/>
        <vertAlign val="superscript"/>
        <sz val="10"/>
        <rFont val="Arial"/>
        <family val="2"/>
      </rPr>
      <t>-</t>
    </r>
    <r>
      <rPr>
        <b/>
        <sz val="10"/>
        <rFont val="Arial"/>
        <family val="2"/>
      </rPr>
      <t xml:space="preserve"> methanolysis</t>
    </r>
    <phoneticPr fontId="1"/>
  </si>
  <si>
    <r>
      <t>MeOH</t>
    </r>
    <r>
      <rPr>
        <vertAlign val="subscript"/>
        <sz val="10"/>
        <color theme="1" tint="0.499984740745262"/>
        <rFont val="Arial"/>
        <family val="2"/>
      </rPr>
      <t>2</t>
    </r>
    <r>
      <rPr>
        <sz val="10"/>
        <color theme="1" tint="0.499984740745262"/>
        <rFont val="游ゴシック"/>
        <family val="2"/>
        <charset val="128"/>
      </rPr>
      <t>・</t>
    </r>
    <r>
      <rPr>
        <sz val="10"/>
        <color theme="1" tint="0.499984740745262"/>
        <rFont val="Arial"/>
        <family val="2"/>
      </rPr>
      <t>(MeO)</t>
    </r>
    <r>
      <rPr>
        <vertAlign val="subscript"/>
        <sz val="10"/>
        <color theme="1" tint="0.499984740745262"/>
        <rFont val="Arial"/>
        <family val="2"/>
      </rPr>
      <t>3</t>
    </r>
    <r>
      <rPr>
        <sz val="10"/>
        <color theme="1" tint="0.499984740745262"/>
        <rFont val="Arial"/>
        <family val="2"/>
      </rPr>
      <t>BH</t>
    </r>
    <phoneticPr fontId="1"/>
  </si>
  <si>
    <t>0 1
 B                  0.48453400    0.10857200    0.07643600
 O                 -0.21099100    0.68069200   -1.06048500
 H                 -1.41915200    0.25336700    1.05741200
 H                 -0.17024600    0.34074300    1.17378400
 O                 -2.46033700    0.19949100    1.01986200
 C                 -2.92354300   -0.96555600    0.27093600
 H                 -2.49612700   -1.82933000    0.76943500
 H                 -4.00682200   -0.96875100    0.34171700
 H                 -2.58443600   -0.89142000   -0.75887100
 C                 -0.43240200    2.06698100   -1.03591900
 H                 -1.18771700    2.31918000   -1.78484000
 H                 -0.79638700    2.40240600   -0.05417100
 H                  0.47700500    2.63493000   -1.26447800
 H                 -2.78439800    1.02502100    0.62745800
 O                  1.77894300    0.74863000    0.24334100
 C                  2.54095200    0.34223500    1.35044400
 H                  2.85146400   -0.70748400    1.27607700
 H                  3.44066500    0.95991800    1.40654900
 H                  1.98460700    0.46152800    2.29051700
 O                  0.51952900   -1.34103200   -0.01622200
 C                  1.27982700   -1.89029600   -1.06753900
 H                  2.31870800   -1.53899300   -1.05194300
 H                  1.28802900   -2.97775600   -0.96043500
 H                  0.85598000   -1.64865000   -2.04989600</t>
    <phoneticPr fontId="1"/>
  </si>
  <si>
    <r>
      <t>[MeOH</t>
    </r>
    <r>
      <rPr>
        <vertAlign val="subscript"/>
        <sz val="10"/>
        <color theme="1" tint="0.499984740745262"/>
        <rFont val="Arial"/>
        <family val="2"/>
      </rPr>
      <t>2</t>
    </r>
    <r>
      <rPr>
        <sz val="10"/>
        <color theme="1" tint="0.499984740745262"/>
        <rFont val="游ゴシック"/>
        <family val="2"/>
        <charset val="128"/>
      </rPr>
      <t>・</t>
    </r>
    <r>
      <rPr>
        <sz val="10"/>
        <color theme="1" tint="0.499984740745262"/>
        <rFont val="Arial"/>
        <family val="2"/>
      </rPr>
      <t>(MeO)</t>
    </r>
    <r>
      <rPr>
        <vertAlign val="subscript"/>
        <sz val="10"/>
        <color theme="1" tint="0.499984740745262"/>
        <rFont val="Arial"/>
        <family val="2"/>
      </rPr>
      <t>3</t>
    </r>
    <r>
      <rPr>
        <sz val="10"/>
        <color theme="1" tint="0.499984740745262"/>
        <rFont val="Arial"/>
        <family val="2"/>
      </rPr>
      <t>BH]</t>
    </r>
    <r>
      <rPr>
        <vertAlign val="superscript"/>
        <sz val="10"/>
        <color theme="1" tint="0.499984740745262"/>
        <rFont val="Arial"/>
        <family val="2"/>
      </rPr>
      <t>‡</t>
    </r>
    <phoneticPr fontId="1"/>
  </si>
  <si>
    <t>0 1
 B                  0.47392300    0.10568700    0.02491400
 O                 -0.22925800    0.70781400   -1.06570200
 H                 -1.22141000    0.22368300    1.05601700
 H                 -0.21603100    0.29748300    1.18979200
 O                 -2.40216300    0.16370500    1.02013400
 C                 -2.87646900   -0.98921400    0.28658900
 H                 -2.44066800   -1.85970500    0.76839800
 H                 -3.96076600   -1.01499300    0.36626100
 H                 -2.56117500   -0.92738700   -0.75323200
 C                 -0.42557300    2.10052100   -1.02304300
 H                 -1.17034400    2.37091300   -1.77481900
 H                 -0.79301500    2.42587800   -0.04027600
 H                  0.49637900    2.65134300   -1.23764700
 H                 -2.72211500    0.97961900    0.61133000
 O                  1.71300400    0.77451700    0.30261800
 C                  2.47092500    0.30328800    1.39054700
 H                  2.83145900   -0.71880700    1.22774400
 H                  3.33589700    0.95673400    1.52107900
 H                  1.88732400    0.31388400    2.32043500
 O                  0.51327400   -1.32825900   -0.06933900
 C                  1.30552600   -1.86425300   -1.10733500
 H                  2.33554300   -1.49067200   -1.07046400
 H                  1.33165800   -2.95023900   -0.99603800
 H                  0.89233200   -1.63043100   -2.09539200</t>
    <phoneticPr fontId="1"/>
  </si>
  <si>
    <r>
      <t>MeOH</t>
    </r>
    <r>
      <rPr>
        <sz val="10"/>
        <color theme="1" tint="0.499984740745262"/>
        <rFont val="游ゴシック"/>
        <family val="2"/>
        <charset val="128"/>
      </rPr>
      <t>・</t>
    </r>
    <r>
      <rPr>
        <sz val="10"/>
        <color theme="1" tint="0.499984740745262"/>
        <rFont val="Arial"/>
        <family val="2"/>
      </rPr>
      <t>(MeO)</t>
    </r>
    <r>
      <rPr>
        <vertAlign val="subscript"/>
        <sz val="10"/>
        <color theme="1" tint="0.499984740745262"/>
        <rFont val="Arial"/>
        <family val="2"/>
      </rPr>
      <t>3</t>
    </r>
    <r>
      <rPr>
        <sz val="10"/>
        <color theme="1" tint="0.499984740745262"/>
        <rFont val="Arial"/>
        <family val="2"/>
      </rPr>
      <t>B</t>
    </r>
    <phoneticPr fontId="1"/>
  </si>
  <si>
    <t>0 1
 B                 -0.27700100    0.03520000   -0.11494000
 O                  0.68554000   -1.31672800   -0.72920600
 H                  0.47093400   -1.45509700   -1.65947200
 C                  2.10971300   -1.32001500   -0.55654000
 H                  2.51888700   -2.21274000   -1.02706800
 H                  2.55329600   -0.42582500   -0.99554100
 H                  2.30243200   -1.35232000    0.51241700
 O                  0.06239100    0.09903500    1.25012700
 C                  1.14056000    0.87856600    1.72347700
 H                  0.76138100    1.71158700    2.32254600
 H                  1.78110400    0.26374900    2.36087600
 H                  1.74712900    1.28533200    0.91102800
 O                 -1.58429400   -0.42304600   -0.37802600
 C                 -2.19639700   -1.32838100    0.51526300
 H                 -1.57270700   -2.21237000    0.68618100
 H                 -2.40723000   -0.86043300    1.48166000
 H                 -3.14070600   -1.65291000    0.07473100
 O                  0.15960300    1.06241800   -0.99101000
 C                 -0.45149000    2.32612700   -0.83317100
 H                  0.01245900    3.02058800   -1.53539100
 H                 -1.52494900    2.28250400   -1.04696000
 H                 -0.31726500    2.72071500    0.18044800</t>
    <phoneticPr fontId="1"/>
  </si>
  <si>
    <r>
      <t>(MeO)</t>
    </r>
    <r>
      <rPr>
        <vertAlign val="subscript"/>
        <sz val="10"/>
        <color theme="1" tint="0.499984740745262"/>
        <rFont val="Arial"/>
        <family val="2"/>
      </rPr>
      <t>4</t>
    </r>
    <r>
      <rPr>
        <sz val="10"/>
        <color theme="1" tint="0.499984740745262"/>
        <rFont val="Arial"/>
        <family val="2"/>
      </rPr>
      <t>B</t>
    </r>
    <r>
      <rPr>
        <vertAlign val="superscript"/>
        <sz val="10"/>
        <color theme="1" tint="0.499984740745262"/>
        <rFont val="Arial"/>
        <family val="2"/>
      </rPr>
      <t>-</t>
    </r>
    <phoneticPr fontId="1"/>
  </si>
  <si>
    <t>-1 1
 B                 -0.00002100   -0.00050400    0.00009900
 O                  0.81356700   -0.24154900   -1.20091500
 C                  1.72135400    0.75670200   -1.58207800
 H                  2.32829100    0.38541900   -2.41312100
 H                  1.21590400    1.67143000   -1.91798400
 H                  2.40158700    1.03237700   -0.76527800
 O                 -0.81356400    1.20065200   -0.24078000
 C                 -1.72108900    1.58190100    0.75768500
 H                 -2.32555700    2.41535400    0.38781200
 H                 -2.40367300    0.76624700    1.03098700
 H                 -1.21547000    1.91437400    1.67355700
 O                  0.81395600    0.24017200    1.20104500
 C                  1.72425200   -0.75672300    1.57978000
 H                  2.41116600   -1.02214700    0.76513700
 H                  2.32390500   -0.38933300    2.41779000
 H                  1.22132300   -1.67677400    1.90473100
 O                 -0.81399000   -1.20132000    0.24099800
 C                 -1.72450100   -1.58011000   -0.75570600
 H                 -1.22174600   -1.90407800   -1.67619000
 H                 -2.32334100   -2.41881700   -0.38857400
 H                 -2.41213500   -0.76579100   -1.02023600</t>
    <phoneticPr fontId="1"/>
  </si>
  <si>
    <r>
      <t>Na((MeO)</t>
    </r>
    <r>
      <rPr>
        <vertAlign val="subscript"/>
        <sz val="10"/>
        <color theme="1" tint="0.499984740745262"/>
        <rFont val="Arial"/>
        <family val="2"/>
      </rPr>
      <t>4</t>
    </r>
    <r>
      <rPr>
        <sz val="10"/>
        <color theme="1" tint="0.499984740745262"/>
        <rFont val="Arial"/>
        <family val="2"/>
      </rPr>
      <t>B)(MeOH)</t>
    </r>
    <r>
      <rPr>
        <vertAlign val="subscript"/>
        <sz val="10"/>
        <color theme="1" tint="0.499984740745262"/>
        <rFont val="Arial"/>
        <family val="2"/>
      </rPr>
      <t>4</t>
    </r>
    <phoneticPr fontId="1"/>
  </si>
  <si>
    <t>0 1
 Na                -1.02733100    0.21221100    0.05537700
 C                  1.39469900   -1.31328100    1.97747400
 O                  0.95454200   -0.95989900    0.69684400
 H                  0.68261700   -2.01788200    2.41696200
 H                  1.46463100   -0.44401500    2.64401300
 H                  2.37699900   -1.80290500    1.95615800
 C                 -3.45212800   -1.09287500    1.86740300
 O                 -2.12705500   -0.60431400    2.01123300
 H                 -4.02741800   -0.32165000    1.35578000
 H                 -3.91233500   -1.28495600    2.84073000
 H                 -3.48068700   -2.01205500    1.27424800
 H                 -1.59466700   -1.27354700    2.44912600
 C                 -0.09686300    3.30462300    0.29995200
 O                  0.00169100    2.20200900    1.18263000
 H                 -1.05807900    3.79136800    0.46922400
 H                 -0.04304300    2.99086900   -0.74908700
 H                  0.69743700    4.03622800    0.48111200
 H                  0.89430700    1.80787800    1.05502300
 C                 -3.83909600    1.08116500   -1.53801900
 O                 -2.75695500    1.62873200   -0.79713300
 H                 -3.50533500    0.68439300   -2.50064400
 H                 -4.61785400    1.82925100   -1.70910400
 H                 -4.26278000    0.26995400   -0.94675000
 H                 -2.41295500    2.38804400   -1.27487800
 C                 -1.39811300   -2.85778500   -0.76718400
 O                 -2.00667400   -1.64671900   -1.19534700
 H                 -1.42210700   -2.95500100    0.32258500
 H                 -0.35945600   -2.83166100   -1.09328900
 H                 -1.88874400   -3.72620700   -1.21501500
 H                 -2.94644400   -1.69496700   -1.00132800
 B                  1.86765800   -0.18114100   -0.16062600
 O                  0.97528800    0.19900700   -1.26719300
 C                  1.52995200    0.94075300   -2.31852700
 H                  2.28200400    0.36508800   -2.87341000
 H                  0.73418000    1.21552400   -3.01573800
 H                  2.00766400    1.86315300   -1.96568300
 O                  3.04463800   -0.93183000   -0.57831200
 C                  2.80987400   -2.16916300   -1.19922000
 H                  3.76135700   -2.56523600   -1.56376100
 H                  2.38117600   -2.90249300   -0.50472900
 H                  2.13021200   -2.07852200   -2.05601500
 O                  2.32338900    1.05430200    0.50914000
 C                  3.56617300    1.13709100    1.15790800
 H                  4.39328300    1.18603600    0.44085200
 H                  3.58168800    2.05158400    1.75679400
 H                  3.74879700    0.28962900    1.82719200</t>
    <phoneticPr fontId="1"/>
  </si>
  <si>
    <r>
      <t>13_Na(MeO)</t>
    </r>
    <r>
      <rPr>
        <b/>
        <vertAlign val="subscript"/>
        <sz val="10"/>
        <color theme="1"/>
        <rFont val="Arial"/>
        <family val="2"/>
      </rPr>
      <t>3</t>
    </r>
    <r>
      <rPr>
        <b/>
        <sz val="10"/>
        <color theme="1"/>
        <rFont val="Arial"/>
        <family val="2"/>
      </rPr>
      <t>BH reduction</t>
    </r>
    <phoneticPr fontId="1"/>
  </si>
  <si>
    <r>
      <t>Na((MeO)</t>
    </r>
    <r>
      <rPr>
        <vertAlign val="subscript"/>
        <sz val="10"/>
        <color theme="1"/>
        <rFont val="Arial"/>
        <family val="2"/>
      </rPr>
      <t>3</t>
    </r>
    <r>
      <rPr>
        <sz val="10"/>
        <color theme="1"/>
        <rFont val="Arial"/>
        <family val="2"/>
      </rPr>
      <t>BH)(</t>
    </r>
    <r>
      <rPr>
        <i/>
        <sz val="10"/>
        <color theme="1"/>
        <rFont val="Arial"/>
        <family val="2"/>
      </rPr>
      <t>eq</t>
    </r>
    <r>
      <rPr>
        <sz val="10"/>
        <color theme="1"/>
        <rFont val="Arial"/>
        <family val="2"/>
      </rPr>
      <t>-CyO)(MeOH)</t>
    </r>
    <r>
      <rPr>
        <vertAlign val="subscript"/>
        <sz val="10"/>
        <color theme="1"/>
        <rFont val="Arial"/>
        <family val="2"/>
      </rPr>
      <t>3</t>
    </r>
    <phoneticPr fontId="1"/>
  </si>
  <si>
    <t>0 1
 C                 -4.33353900    0.44543100   -1.26812500
 C                 -3.53641200   -0.84834200   -1.44320400
 C                 -2.54651300   -0.48695600    0.89600400
 C                 -3.40802300    0.77037800    1.03534900
 C                 -4.67640500    0.68930700    0.19598200
 H                 -4.17653200   -1.70072300   -1.18163900
 H                 -3.19906700   -0.99265000   -2.46989100
 H                 -3.74326800    1.28583400   -1.64632800
 H                 -5.23853500    0.39088500   -1.87571800
 H                 -3.04775300   -1.32565000    1.39656300
 H                 -1.57077400   -0.36200100    1.36553500
 H                 -3.64783100    0.91989100    2.08976500
 H                 -2.82330300    1.63650600    0.71464400
 H                 -5.31409000   -0.12244400    0.56289300
 H                 -5.24595500    1.61562600    0.29687500
 C                 -2.35246200   -0.94090600   -0.52396400
 H                 -0.80258900    1.81242500   -0.52783500
 B                  0.42053300    1.72406000   -0.33910700
 Na                 0.85776900   -1.18532400    0.09801900
 C                  0.21719000    1.86413600    2.10931500
 H                  0.63343900    2.87707500    2.16306500
 H                 -0.87585400    1.95133700    2.07418800
 H                  0.49219400    1.33486500    3.02410900
 O                 -1.29828600   -1.42621100   -0.89920900
 O                  0.31129000   -2.38738100    2.04594200
 H                 -0.49414100   -2.90908000    2.00710600
 C                  0.32992900   -1.66337800    3.26943300
 H                  1.24222300   -1.06837200    3.27871500
 H                 -0.53193200   -0.99567500    3.35280700
 H                  0.34168500   -2.34051900    4.12786700
 O                  1.67723000   -2.56009400   -1.67120500
 C                  2.99994800   -2.19360500   -2.04371000
 H                  3.07709100   -1.12082800   -2.24084400
 H                  3.65239400   -2.44774100   -1.20922500
 H                  3.32855500   -2.74562200   -2.92838700
 H                  1.08973900   -2.37232400   -2.40845300
 O                  2.96674200   -0.28831600    1.22995900
 C                  4.09217200    0.14736700    0.48953600
 H                  4.58043400    1.00211600    0.96903200
 H                  4.80569500   -0.67645000    0.44799400
 H                  3.82000600    0.42602100   -0.53257600
 O                  0.71071200    1.15504000    1.00377400
 H                  2.28979600    0.42060400    1.22490600
 O                  1.03599400    0.73640300   -1.23721700
 C                  0.69752400    0.82229600   -2.59209800
 H                 -0.39052300    0.80013900   -2.74177600
 H                  1.07971700    1.74184500   -3.05444400
 H                  1.13183200   -0.02804100   -3.12537300
 O                  0.95372000    3.07953100   -0.50676600
 C                  2.34226100    3.23707300   -0.34822200
 H                  2.90911000    2.69485200   -1.11534300
 H                  2.58801400    4.29890400   -0.43429700
 H                  2.68886700    2.88888600    0.63338700</t>
    <phoneticPr fontId="1"/>
  </si>
  <si>
    <r>
      <t>[Na((MeO)</t>
    </r>
    <r>
      <rPr>
        <vertAlign val="subscript"/>
        <sz val="10"/>
        <color theme="1"/>
        <rFont val="Arial"/>
        <family val="2"/>
      </rPr>
      <t>3</t>
    </r>
    <r>
      <rPr>
        <sz val="10"/>
        <color theme="1"/>
        <rFont val="Arial"/>
        <family val="2"/>
      </rPr>
      <t>BH)(</t>
    </r>
    <r>
      <rPr>
        <i/>
        <sz val="10"/>
        <color theme="1"/>
        <rFont val="Arial"/>
        <family val="2"/>
      </rPr>
      <t>eq</t>
    </r>
    <r>
      <rPr>
        <sz val="10"/>
        <color theme="1"/>
        <rFont val="Arial"/>
        <family val="2"/>
      </rPr>
      <t>-CyO)(MeOH)</t>
    </r>
    <r>
      <rPr>
        <vertAlign val="subscript"/>
        <sz val="10"/>
        <color theme="1"/>
        <rFont val="Arial"/>
        <family val="2"/>
      </rPr>
      <t>3</t>
    </r>
    <r>
      <rPr>
        <sz val="10"/>
        <color theme="1"/>
        <rFont val="Arial"/>
        <family val="2"/>
      </rPr>
      <t>]</t>
    </r>
    <r>
      <rPr>
        <vertAlign val="superscript"/>
        <sz val="10"/>
        <color theme="1"/>
        <rFont val="Arial"/>
        <family val="2"/>
      </rPr>
      <t>‡</t>
    </r>
    <phoneticPr fontId="1"/>
  </si>
  <si>
    <t>0 1
 C                  3.50918200   -0.84067600   -1.41480600
 C                  2.36864500   -0.01068000   -1.99181000
 C                  2.47741900    1.50899900    0.06287500
 C                  3.61441200    0.65303000    0.60843300
 C                  4.41207500   -0.00237500   -0.51492300
 H                  2.77389500    0.73259900   -2.69035900
 H                  1.66309100   -0.62446900   -2.55210700
 H                  3.09591600   -1.67257800   -0.83706900
 H                  4.08688600   -1.27791800   -2.23230900
 H                  2.89224400    2.37540000   -0.46766000
 H                  1.84024100    1.89893500    0.85856700
 H                  4.26612300    1.27056700    1.23064700
 H                  3.20239100   -0.12659600    1.25613700
 H                  4.90253100    0.77346700   -1.11360000
 H                  5.20350200   -0.62710300   -0.09417200
 C                  1.60688700    0.80603400   -0.96297500
 H                  1.25103800   -0.36398400   -0.07010600
 B                  0.34861300   -1.09036700    0.56869600
 Na                -1.69123800    0.86709400   -0.61979200
 C                  0.61391300   -0.09271200    2.81649700
 H                  1.01556600   -1.03619000    3.19753000
 H                  1.45075300    0.58645000    2.63026300
 H                 -0.02096800    0.34755800    3.58783900
 O                  0.53204600    1.36903500   -1.32627700
 O                 -0.93671400    3.12630500    0.06604500
 H                 -0.16828600    2.68276500   -0.35099000
 C                 -0.67746200    3.30885500    1.44687600
 H                 -1.58326900    3.70441500    1.90746500
 H                 -0.42174100    2.36626500    1.93982100
 H                  0.13577600    4.02350800    1.60971400
 O                 -3.07697000    0.31686400   -2.41560300
 C                 -4.03583100   -0.67835900   -2.07429100
 H                 -3.55245900   -1.61892500   -1.79647700
 H                 -4.60240100   -0.30375200   -1.22269900
 H                 -4.72562300   -0.85999800   -2.90224400
 H                 -2.60226700    0.03008100   -3.20012500
 O                 -2.73883000    0.47225600    1.53225000
 C                 -3.61857400   -0.63443000    1.63689700
 H                 -3.66031900   -1.01204600    2.66357200
 H                 -4.61621300   -0.30088400    1.35061600
 H                 -3.31648200   -1.45255900    0.97519700
 O                 -0.16721800   -0.28752200    1.66045300
 H                 -1.83444300    0.16045500    1.74756700
 O                 -0.77048800   -1.27472800   -0.32325400
 C                 -0.58976900   -2.03155200   -1.49798700
 H                 -0.60282400   -1.38381100   -2.38023500
 H                  0.35668100   -2.57915300   -1.49037300
 H                 -1.40185900   -2.75747700   -1.59268900
 O                  1.08337900   -2.26764900    0.93846700
 C                  0.32626900   -3.30283900    1.53056100
 H                 -0.32974000   -3.79167400    0.80064100
 H                  1.01469200   -4.05101300    1.92856000
 H                 -0.29651500   -2.93480800    2.35457500</t>
    <phoneticPr fontId="1"/>
  </si>
  <si>
    <t>NBO charge (H:-0.214, C:0.365)</t>
    <phoneticPr fontId="1"/>
  </si>
  <si>
    <r>
      <t>[Na((MeO)</t>
    </r>
    <r>
      <rPr>
        <vertAlign val="subscript"/>
        <sz val="10"/>
        <color theme="1"/>
        <rFont val="Arial"/>
        <family val="2"/>
      </rPr>
      <t>3</t>
    </r>
    <r>
      <rPr>
        <sz val="10"/>
        <color theme="1"/>
        <rFont val="Arial"/>
        <family val="2"/>
      </rPr>
      <t>BH)(</t>
    </r>
    <r>
      <rPr>
        <i/>
        <sz val="10"/>
        <color theme="1"/>
        <rFont val="Arial"/>
        <family val="2"/>
      </rPr>
      <t>ax</t>
    </r>
    <r>
      <rPr>
        <sz val="10"/>
        <color theme="1"/>
        <rFont val="Arial"/>
        <family val="2"/>
      </rPr>
      <t>-CyO)(MeOH)</t>
    </r>
    <r>
      <rPr>
        <vertAlign val="subscript"/>
        <sz val="10"/>
        <color theme="1"/>
        <rFont val="Arial"/>
        <family val="2"/>
      </rPr>
      <t>3</t>
    </r>
    <r>
      <rPr>
        <sz val="10"/>
        <color theme="1"/>
        <rFont val="Arial"/>
        <family val="2"/>
      </rPr>
      <t>]</t>
    </r>
    <r>
      <rPr>
        <vertAlign val="superscript"/>
        <sz val="10"/>
        <color theme="1"/>
        <rFont val="Arial"/>
        <family val="2"/>
      </rPr>
      <t>‡</t>
    </r>
    <phoneticPr fontId="1"/>
  </si>
  <si>
    <t>0 1
 C                 -3.92797600   -0.78992300    0.71448400
 C                 -2.61959500   -0.01423100    0.91420400
 C                 -2.60903200    0.61503400   -1.53314000
 C                 -3.92735500   -0.14742000   -1.73025200
 C                 -4.73927500   -0.20149300   -0.43793800
 H                 -2.84820000    1.01901400    1.18268200
 H                 -2.01380400   -0.45266100    1.70785500
 H                 -3.69803900   -1.83977400    0.50618500
 H                 -4.50717400   -0.76733200    1.64009500
 H                 -2.82098800    1.65614100   -1.28021000
 H                 -2.00451100    0.59381500   -2.43969800
 H                 -4.50525300    0.33111000   -2.52387700
 H                 -3.70489100   -1.16537300   -2.06581800
 H                 -5.05466900    0.81310400   -0.17023300
 H                 -5.64894400   -0.78651900   -0.59305000
 C                 -1.85530000   -0.05207400   -0.39679600
 H                 -0.92159700    1.11185000   -0.10169900
 B                  0.29060800    1.55724800    0.14860900
 Na                 1.22551700   -1.34409200   -0.30646100
 C                  0.11425900    1.60089100    2.59656600
 H                  0.51380900    2.60198400    2.78964900
 H                 -0.97378200    1.67704600    2.51399800
 H                  0.35377700    0.96446100    3.45064700
 O                 -1.14746600   -1.06826300   -0.65481200
 O                 -0.14146000   -2.81441300    1.12907900
 H                 -0.77078000   -2.24620900    0.63815700
 C                 -0.15085900   -2.44076100    2.49649800
 H                  0.64007100   -2.99712900    3.00014500
 H                  0.04161600   -1.37115800    2.62588000
 H                 -1.10634600   -2.68637400    2.97096000
 O                  2.37495200   -1.88259700   -2.27799000
 C                  3.69774800   -1.35711000   -2.25020900
 H                  3.69430100   -0.27417900   -2.09817500
 H                  4.21618900   -1.83120900   -1.41776600
 H                  4.23243800   -1.58834400   -3.17473400
 H                  1.92370900   -1.53604100   -3.05244400
 O                  2.69556900   -0.74114500    1.51300600
 C                  3.93340800   -0.12568800    1.19849600
 H                  4.30309900    0.47195800    2.03789200
 H                  4.65841200   -0.91214600    0.98837200
 H                  3.84880700    0.52062000    0.31918000
 O                  0.68592900    1.03128900    1.44160700
 H                  2.03011300   -0.03133500    1.63801300
 O                  1.19006600    0.95581800   -0.80670100
 C                  0.97226200    1.21615200   -2.17454600
 H                  0.29666000    0.47470800   -2.61326200
 H                  0.54138900    2.20865600   -2.33705500
 H                  1.92797800    1.16793700   -2.70126000
 O                  0.12755000    2.98462200    0.07089000
 C                  1.31717700    3.74190400    0.15684500
 H                  1.93367900    3.63002400   -0.74290200
 H                  1.05085100    4.79561400    0.26186100
 H                  1.92446700    3.45234500    1.02274400</t>
    <phoneticPr fontId="1"/>
  </si>
  <si>
    <r>
      <t>[Na((MeO)</t>
    </r>
    <r>
      <rPr>
        <vertAlign val="subscript"/>
        <sz val="10"/>
        <color theme="1"/>
        <rFont val="Arial"/>
        <family val="2"/>
      </rPr>
      <t>3</t>
    </r>
    <r>
      <rPr>
        <sz val="10"/>
        <color theme="1"/>
        <rFont val="Arial"/>
        <family val="2"/>
      </rPr>
      <t>BH)(Ph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CO)(MeOH)</t>
    </r>
    <r>
      <rPr>
        <vertAlign val="subscript"/>
        <sz val="10"/>
        <color theme="1"/>
        <rFont val="Arial"/>
        <family val="2"/>
      </rPr>
      <t>3</t>
    </r>
    <r>
      <rPr>
        <sz val="10"/>
        <color theme="1"/>
        <rFont val="Arial"/>
        <family val="2"/>
      </rPr>
      <t>]</t>
    </r>
    <r>
      <rPr>
        <vertAlign val="superscript"/>
        <sz val="10"/>
        <color theme="1"/>
        <rFont val="Arial"/>
        <family val="2"/>
      </rPr>
      <t>‡</t>
    </r>
    <phoneticPr fontId="1"/>
  </si>
  <si>
    <t>0 1
 C                 -1.27595400    0.14434100   -0.64102600
 H                 -0.53754400    0.17131200    0.76527700
 B                  0.56727700    0.06251900    1.44793400
 Na                 2.05485800    0.15961800   -1.18384700
 C                  0.56306500   -2.40900100    1.65122400
 H                  0.08776600   -2.24188000    2.62170100
 H                 -0.19176100   -2.79676300    0.96063700
 H                  1.34011800   -3.16703200    1.77386500
 O                 -0.39339800    0.14606000   -1.52807100
 O                  1.37530100   -1.65700100   -2.60677000
 H                  0.51654400   -1.27136800   -2.36282000
 C                  1.46097000   -2.96314700   -2.05755300
 H                  2.47484900   -3.32599200   -2.22593300
 H                  1.26411200   -2.96135800   -0.98223800
 H                  0.75879900   -3.64594600   -2.54523100
 O                  3.02763300    2.17062100   -1.89080200
 C                  4.25890200    2.37639100   -1.20620300
 H                  4.12040300    2.36110500   -0.12153500
 H                  4.92604800    1.56346200   -1.49056500
 H                  4.71709100    3.32505200   -1.49633900
 H                  2.44566300    2.91264500   -1.70530200
 O                  3.62014600   -1.23657000    0.06956000
 C                  4.58359200   -0.61063300    0.89979800
 H                  4.89551900   -1.27278700    1.71397400
 H                  5.45628000   -0.37808600    0.28925000
 H                  4.19834400    0.31803100    1.33215900
 O                  1.15903400   -1.23178900    1.15349000
 H                  2.80201000   -1.36083100    0.59441900
 O                  1.50759100    1.02683900    0.91676500
 C                  1.16406100    2.39134200    0.97271500
 H                  0.48322300    2.66522300    0.15992100
 H                  0.68417700    2.65126400    1.92163100
 H                  2.07536500    2.98587000    0.87729300
 O                  0.13773000    0.26729800    2.80613300
 C                  1.15532500    0.25038200    3.78416300
 H                  1.87026200    1.06925300    3.63964400
 H                  0.69381200    0.36666700    4.76681500
 H                  1.71406400   -0.69337900    3.77570200
 C                 -2.05824300    1.42638000   -0.42872200
 C                 -2.34195700    1.98744800    0.81099700
 C                 -2.53576100    2.04826700   -1.57952000
 C                 -3.09207800    3.15006600    0.89827600
 H                 -1.94963000    1.53558400    1.71238900
 C                 -3.29053300    3.20855800   -1.49104800
 H                 -2.31734200    1.61799400   -2.54937500
 C                 -3.57141400    3.76295000   -0.25108400
 H                 -3.29437500    3.58370900    1.87014600
 H                 -3.65691700    3.68063100   -2.39461700
 H                 -4.15571100    4.67230800   -0.18040000
 C                 -2.01210200   -1.14720300   -0.35118700
 C                 -2.72018600   -1.35305100    0.82986600
 C                 -1.98033600   -2.15746300   -1.30401800
 C                 -3.35692100   -2.55867100    1.06459300
 H                 -2.74703200   -0.58188100    1.58847100
 C                 -2.62129900   -3.36661800   -1.07152100
 H                 -1.46253900   -1.99874300   -2.24055300
 C                 -3.30414600   -3.57348900    0.11630700
 H                 -3.88964900   -2.71226800    1.99509200
 H                 -2.58500200   -4.14613600   -1.82284100
 H                 -3.79897000   -4.51879700    0.30323000
0 1
 C                 -1.27595400    0.14434100   -0.64102600
 H                 -0.53754400    0.17131200    0.76527700
 B                  0.56727700    0.06251900    1.44793400
 Na                 2.05485800    0.15961800   -1.18384700
 C                  0.56306500   -2.40900100    1.65122400
 H                  0.08776600   -2.24188000    2.62170100
 H                 -0.19176100   -2.79676300    0.96063700
 H                  1.34011800   -3.16703200    1.77386500
 O                 -0.39339800    0.14606000   -1.52807100
 O                  1.37530100   -1.65700100   -2.60677000
 H                  0.51654400   -1.27136800   -2.36282000
 C                  1.46097000   -2.96314700   -2.05755300
 H                  2.47484900   -3.32599200   -2.22593300
 H                  1.26411200   -2.96135800   -0.98223800
 H                  0.75879900   -3.64594600   -2.54523100
 O                  3.02763300    2.17062100   -1.89080200
 C                  4.25890200    2.37639100   -1.20620300
 H                  4.12040300    2.36110500   -0.12153500
 H                  4.92604800    1.56346200   -1.49056500
 H                  4.71709100    3.32505200   -1.49633900
 H                  2.44566300    2.91264500   -1.70530200
 O                  3.62014600   -1.23657000    0.06956000
 C                  4.58359200   -0.61063300    0.89979800
 H                  4.89551900   -1.27278700    1.71397400
 H                  5.45628000   -0.37808600    0.28925000
 H                  4.19834400    0.31803100    1.33215900
 O                  1.15903400   -1.23178900    1.15349000
 H                  2.80201000   -1.36083100    0.59441900
 O                  1.50759100    1.02683900    0.91676500
 C                  1.16406100    2.39134200    0.97271500
 H                  0.48322300    2.66522300    0.15992100
 H                  0.68417700    2.65126400    1.92163100
 H                  2.07536500    2.98587000    0.87729300
 O                  0.13773000    0.26729800    2.80613300
 C                  1.15532500    0.25038200    3.78416300
 H                  1.87026200    1.06925300    3.63964400
 H                  0.69381200    0.36666700    4.76681500
 H                  1.71406400   -0.69337900    3.77570200
 C                 -2.05824300    1.42638000   -0.42872200
 C                 -2.34195700    1.98744800    0.81099700
 C                 -2.53576100    2.04826700   -1.57952000
 C                 -3.09207800    3.15006600    0.89827600
 H                 -1.94963000    1.53558400    1.71238900
 C                 -3.29053300    3.20855800   -1.49104800
 H                 -2.31734200    1.61799400   -2.54937500
 C                 -3.57141400    3.76295000   -0.25108400
 H                 -3.29437500    3.58370900    1.87014600
 H                 -3.65691700    3.68063100   -2.39461700
 H                 -4.15571100    4.67230800   -0.18040000
 C                 -2.01210200   -1.14720300   -0.35118700
 C                 -2.72018600   -1.35305100    0.82986600
 C                 -1.98033600   -2.15746300   -1.30401800
 C                 -3.35692100   -2.55867100    1.06459300
 H                 -2.74703200   -0.58188100    1.58847100
 C                 -2.62129900   -3.36661800   -1.07152100
 H                 -1.46253900   -1.99874300   -2.24055300
 C                 -3.30414600   -3.57348900    0.11630700
 H                 -3.88964900   -2.71226800    1.99509200
 H                 -2.58500200   -4.14613600   -1.82284100
 H                 -3.79897000   -4.51879700    0.30323000</t>
    <phoneticPr fontId="1"/>
  </si>
  <si>
    <r>
      <t>[Na((MeO)</t>
    </r>
    <r>
      <rPr>
        <vertAlign val="subscript"/>
        <sz val="10"/>
        <color theme="6"/>
        <rFont val="Arial"/>
        <family val="2"/>
      </rPr>
      <t>3</t>
    </r>
    <r>
      <rPr>
        <sz val="10"/>
        <color theme="6"/>
        <rFont val="Arial"/>
        <family val="2"/>
      </rPr>
      <t>BH)(PhMeCO)(MeOH)</t>
    </r>
    <r>
      <rPr>
        <vertAlign val="subscript"/>
        <sz val="10"/>
        <color theme="6"/>
        <rFont val="Arial"/>
        <family val="2"/>
      </rPr>
      <t>3</t>
    </r>
    <r>
      <rPr>
        <sz val="10"/>
        <color theme="6"/>
        <rFont val="Arial"/>
        <family val="2"/>
      </rPr>
      <t>]‡</t>
    </r>
    <phoneticPr fontId="1"/>
  </si>
  <si>
    <t>0 1
 C                 -1.23654000   -0.43687500   -1.34163400
 H                 -0.70441600   -1.03265800   -0.03876100
 B                  0.12913600   -1.05092400    0.98323900
 Na                 1.66683900    0.99841100   -0.69129200
 C                  1.25066400   -3.11926300    0.30898100
 H                  1.13490300   -3.66623300    1.25033300
 H                  0.41149900   -3.37960800   -0.34387600
 H                  2.17685100   -3.44570900   -0.16730200
 O                 -0.41974900    0.44068900   -1.73130700
 O                  1.96468900    0.02532800   -2.93796200
 H                  1.00319300   -0.01886800   -2.76932000
 C                  2.49338900   -1.29044500   -2.94334700
 H                  3.57895300   -1.21280000   -3.00717300
 H                  2.23754800   -1.83303100   -2.02850800
 H                  2.13302100   -1.86165000   -3.80471300
 O                  1.64935600    3.28096100   -0.19492400
 C                  2.34082600    3.56867700    1.01595500
 H                  1.88901500    3.05046300    1.86610200
 H                  3.36659900    3.22344600    0.89248100
 H                  2.35312300    4.64297700    1.21582600
 H                  0.75140800    3.61542700   -0.12198200
 O                  3.53814100   -0.23419300    0.20004700
 C                  4.03587600    0.21768500    1.44870100
 H                  4.53218800   -0.59128800    1.99393900
 H                  4.76630300    1.00350400    1.25546700
 H                  3.23675500    0.62470000    2.07652800
 O                  1.32610200   -1.72895300    0.52629500
 H                  2.85109400   -0.91081600    0.37508700
 O                  0.52808000    0.30754800    1.25273600
 C                 -0.42950000    1.21346800    1.75593800
 H                 -0.62542400    2.00438200    1.02595600
 H                 -1.37756100    0.72071400    1.98688300
 H                 -0.05217500    1.67567300    2.67247700
 O                 -0.63604300   -1.72190700    1.99575400
 C                 -0.03805800   -1.79725200    3.27320100
 H                 -0.01563100   -0.81875100    3.76724500
 H                 -0.62504900   -2.47969300    3.89108300
 H                  0.98947300   -2.17641500    3.22130300
 C                 -1.25800900   -1.75517000   -2.08521300
 H                 -1.79084000   -2.53977700   -1.55219900
 H                 -1.76185900   -1.57989000   -3.04102700
 H                 -0.23676900   -2.07876700   -2.28437400
 C                 -2.54518900    0.02721300   -0.74030700
 C                 -2.92870900    1.35262700   -0.90255400
 C                 -3.37633200   -0.83677300   -0.03208500
 C                 -4.12370100    1.81082500   -0.36565600
 H                 -2.28577400    2.02851600   -1.45165900
 C                 -4.56651900   -0.38018300    0.50867100
 H                 -3.07921700   -1.86642400    0.12540500
 C                 -4.94434800    0.94675300    0.34323600
 H                 -4.41211700    2.84635300   -0.50077300
 H                 -5.19900600   -1.05934700    1.06739200
 H                 -5.87471300    1.30416400    0.76774300</t>
    <phoneticPr fontId="1"/>
  </si>
  <si>
    <r>
      <t>[Na((MeO)</t>
    </r>
    <r>
      <rPr>
        <vertAlign val="subscript"/>
        <sz val="10"/>
        <color theme="6"/>
        <rFont val="Arial"/>
        <family val="2"/>
      </rPr>
      <t>3</t>
    </r>
    <r>
      <rPr>
        <sz val="10"/>
        <color theme="6"/>
        <rFont val="Arial"/>
        <family val="2"/>
      </rPr>
      <t>BH)(4-NO</t>
    </r>
    <r>
      <rPr>
        <vertAlign val="subscript"/>
        <sz val="10"/>
        <color theme="6"/>
        <rFont val="Arial"/>
        <family val="2"/>
      </rPr>
      <t>2</t>
    </r>
    <r>
      <rPr>
        <sz val="10"/>
        <color theme="6"/>
        <rFont val="Arial"/>
        <family val="2"/>
      </rPr>
      <t>PhMeCO)(MeOH)</t>
    </r>
    <r>
      <rPr>
        <vertAlign val="subscript"/>
        <sz val="10"/>
        <color theme="6"/>
        <rFont val="Arial"/>
        <family val="2"/>
      </rPr>
      <t>3</t>
    </r>
    <r>
      <rPr>
        <sz val="10"/>
        <color theme="6"/>
        <rFont val="Arial"/>
        <family val="2"/>
      </rPr>
      <t>]</t>
    </r>
    <r>
      <rPr>
        <vertAlign val="superscript"/>
        <sz val="10"/>
        <color theme="6"/>
        <rFont val="Arial"/>
        <family val="2"/>
      </rPr>
      <t>‡</t>
    </r>
    <phoneticPr fontId="1"/>
  </si>
  <si>
    <t>0 1
 C                 -0.32700000   -0.71506200   -1.49390100
 H                  0.14228300   -1.20900300   -0.08235500
 B                  0.87172000   -1.06507700    0.99829600
 Na                 2.31381700    1.10474800   -0.62084500
 C                  2.31272300   -2.98644400    0.52649500
 H                  2.17016100   -3.51290900    1.47590200
 H                  1.58628700   -3.37645300   -0.19377900
 H                  3.31752200   -3.20385700    0.15978500
 O                  0.39112500    0.25690800   -1.82475900
 O                  2.93686100    0.13905000   -2.78991600
 H                  1.97802400   -0.03008400   -2.74054300
 C                  3.62942500   -1.09330600   -2.66781400
 H                  4.69533200   -0.87082100   -2.61820300
 H                  3.34304200   -1.62907800   -1.75789200
 H                  3.44658100   -1.74009800   -3.53138400
 O                  2.01369900    3.39285000   -0.31878600
 C                  2.41738500    3.85991800    0.96406200
 H                  1.80567100    3.42400100    1.75843900
 H                  3.45415400    3.55778400    1.10672900
 H                  2.35799600    4.94954900    1.02186700
 H                  1.12021200    3.70016500   -0.49294400
 O                  4.21754200    0.16087900    0.51793200
 C                  4.50501600    0.74944900    1.77578200
 H                  5.02813500    0.04699300    2.43223600
 H                  5.15194200    1.60994300    1.60411000
 H                  3.59368800    1.08703900    2.27985200
 O                  2.18690500   -1.59223000    0.68539900
 H                  3.60432500   -0.58929000    0.66592700
 O                  1.06553000    0.34712300    1.22533200
 C                 -0.04568400    1.13882000    1.58332100
 H                 -0.26016600    1.87081300    0.79894900
 H                 -0.94433200    0.53679400    1.74218000
 H                  0.17005500    1.67967600    2.50911100
 O                  0.11757200   -1.78619800    1.98655900
 C                  0.61319800   -1.72221500    3.30770400
 H                  0.46141900   -0.72988800    3.74858800
 H                  0.07600500   -2.45302600    3.91560500
 H                  1.68352500   -1.95564100    3.35408900
 C                 -0.09481100   -2.04551400   -2.17210200
 H                 -0.57142600   -2.87899000   -1.66087300
 H                 -0.51346000   -1.97010200   -3.18068000
 H                  0.97577000   -2.23036900   -2.25294200
 C                 -1.73549100   -0.42379700   -1.01628200
 C                 -2.27859700    0.82812400   -1.27659400
 C                 -2.49170800   -1.37295300   -0.33384300
 C                 -3.56126700    1.13972300   -0.86365000
 H                 -1.69081500    1.56612100   -1.80511900
 C                 -3.77180700   -1.07952800    0.08956700
 H                 -2.06931300   -2.34156900   -0.10128000
 C                 -4.28688300    0.17785100   -0.18436200
 H                 -3.98729400    2.11175600   -1.06501500
 H                 -4.35774800   -1.80930500    0.62881400
 N                 -5.64132400    0.49828000    0.26151400
 O                 -6.08151500    1.60600900    0.02304800
 O                 -6.27220400   -0.35631000    0.85240600</t>
    <phoneticPr fontId="1"/>
  </si>
  <si>
    <r>
      <t>[Na((MeO)</t>
    </r>
    <r>
      <rPr>
        <vertAlign val="subscript"/>
        <sz val="10"/>
        <color theme="6"/>
        <rFont val="Arial"/>
        <family val="2"/>
      </rPr>
      <t>3</t>
    </r>
    <r>
      <rPr>
        <sz val="10"/>
        <color theme="6"/>
        <rFont val="Arial"/>
        <family val="2"/>
      </rPr>
      <t>BH)(4-MeOPhMeCO)(MeOH)</t>
    </r>
    <r>
      <rPr>
        <vertAlign val="subscript"/>
        <sz val="10"/>
        <color theme="6"/>
        <rFont val="Arial"/>
        <family val="2"/>
      </rPr>
      <t>3</t>
    </r>
    <r>
      <rPr>
        <sz val="10"/>
        <color theme="6"/>
        <rFont val="Arial"/>
        <family val="2"/>
      </rPr>
      <t>]</t>
    </r>
    <r>
      <rPr>
        <vertAlign val="superscript"/>
        <sz val="10"/>
        <color theme="6"/>
        <rFont val="Arial"/>
        <family val="2"/>
      </rPr>
      <t>‡</t>
    </r>
    <phoneticPr fontId="1"/>
  </si>
  <si>
    <t>0 1
 C                 -0.50783900   -0.89662400   -1.36117700
 H                  0.03557400   -1.22856600    0.00460800
 B                  0.76449200   -0.97901300    1.08175900
 Na                 2.04371600    1.10467600   -0.76186900
 C                  2.27179200   -2.87840000    0.74585000
 H                  2.14316300   -3.33663100    1.73174600
 H                  1.56531600   -3.34821900    0.05419500
 H                  3.28649400   -3.08360400    0.40030400
 O                  0.17238100    0.06023500   -1.83194100
 O                  2.66209200   -0.04932100   -2.85629000
 H                  1.71099000   -0.23815400   -2.72543900
 C                  3.40335300   -1.23522500   -2.62153000
 H                  4.46208300   -0.97545300   -2.63634200
 H                  3.16733700   -1.67291400   -1.64694200
 H                  3.21677800   -1.98325000   -3.39857700
 O                  1.63788000    3.39288700   -0.57966000
 C                  2.12140000    3.94108700    0.64191500
 H                  1.62948500    3.48624400    1.50598500
 H                  3.18946500    3.73251600    0.68931500
 H                  1.97281100    5.02328500    0.67284100
 H                  0.70717800    3.61408300   -0.66976000
 O                  4.02723000    0.34276200    0.38672300
 C                  4.35026300    1.02953300    1.58456300
 H                  4.94198500    0.39914300    2.25582000
 H                  4.94314400    1.90550600    1.32077700
 H                  3.45070000    1.35814900    2.11490100
 O                  2.09304900   -1.48134400    0.79901300
 H                  3.45679700   -0.41935800    0.61899800
 O                  0.90005900    0.44996000    1.19516400
 C                 -0.22754100    1.22408000    1.54264000
 H                 -0.45721400    1.93459000    0.74348000
 H                 -1.11279400    0.60658200    1.71434600
 H                 -0.02123200    1.78846200    2.45671700
 O                  0.03055700   -1.65630000    2.11161300
 C                  0.51667500   -1.48718700    3.42760300
 H                  0.33901200   -0.47004100    3.79599200
 H                 -0.00743300   -2.18568100    4.08284400
 H                  1.59171700   -1.69167200    3.49484900
 C                 -0.25852500   -2.27550000   -1.93778400
 H                 -0.68660600   -3.07596600   -1.33770000
 H                 -0.71840700   -2.30106600   -2.93070500
 H                  0.81351400   -2.43819800   -2.04688900
 C                 -1.90888500   -0.60034200   -0.88770300
 C                 -2.49292200    0.61568000   -1.20241000
 C                 -2.64302100   -1.50973000   -0.12526000
 C                 -3.77747100    0.93630000   -0.78057300
 H                 -1.93637500    1.33566400   -1.78889300
 C                 -3.91563100   -1.20764200    0.30769800
 H                 -2.20396800   -2.45755700    0.16137900
 C                 -4.49361700    0.02092400   -0.01880100
 H                 -4.20077600    1.89356000   -1.05035300
 H                 -4.47959900   -1.91015000    0.90908500
 O                 -5.74627300    0.22999300    0.44963500
 C                 -6.37845500    1.46441000    0.15384400
 H                 -6.49821500    1.59943300   -0.92436400
 H                 -7.35952200    1.41815400    0.62202700
 H                 -5.81799000    2.30559400    0.57021100</t>
    <phoneticPr fontId="1"/>
  </si>
  <si>
    <r>
      <t>Na((MeO)</t>
    </r>
    <r>
      <rPr>
        <vertAlign val="subscript"/>
        <sz val="10"/>
        <color theme="1"/>
        <rFont val="Arial"/>
        <family val="2"/>
      </rPr>
      <t>3</t>
    </r>
    <r>
      <rPr>
        <sz val="10"/>
        <color theme="1"/>
        <rFont val="Arial"/>
        <family val="2"/>
      </rPr>
      <t>B)(</t>
    </r>
    <r>
      <rPr>
        <i/>
        <sz val="10"/>
        <color theme="1"/>
        <rFont val="Arial"/>
        <family val="2"/>
      </rPr>
      <t>eq</t>
    </r>
    <r>
      <rPr>
        <sz val="10"/>
        <color theme="1"/>
        <rFont val="Arial"/>
        <family val="2"/>
      </rPr>
      <t>-CyO)(MeOH)</t>
    </r>
    <r>
      <rPr>
        <vertAlign val="subscript"/>
        <sz val="10"/>
        <color theme="1"/>
        <rFont val="Arial"/>
        <family val="2"/>
      </rPr>
      <t>3</t>
    </r>
    <phoneticPr fontId="1"/>
  </si>
  <si>
    <t>0 1
 C                  2.72380000   -0.88488000   -1.44275100
 C                  1.85125900    0.32259000   -1.77045100
 C                  3.02985600    1.67654400   -0.03095400
 C                  3.92629300    0.48501300    0.30051300
 C                  4.08188900   -0.44997400   -0.89676200
 H                  2.31369100    0.91084800   -2.57289300
 H                  0.87069100    0.00294100   -2.13564800
 H                  2.21537100   -1.49740500   -0.68813800
 H                  2.85331300   -1.51694300   -2.32553000
 H                  3.50587700    2.30190000   -0.79667200
 H                  2.88600400    2.30478700    0.85369500
 H                  4.90662600    0.82913600    0.64096600
 H                  3.48403400   -0.07361600    1.13412400
 H                  4.63483100    0.06921000   -1.68808400
 H                  4.67568600   -1.32468200   -0.61781200
 C                  1.66161300    1.23327000   -0.55576400
 H                  1.23532700    0.59002200    0.24555200
 B                 -0.34031600   -1.71271800    0.74802700
 Na                -1.24258900    1.14333000   -0.34946000
 C                  0.01119000   -1.02610200    3.05831600
 H                 -0.33479700   -1.97459700    3.47316900
 H                  1.10245200   -1.02563600    3.02091500
 H                 -0.32585900   -0.21278400    3.69863800
 O                  0.81283300    2.30039600   -0.82939300
 O                 -0.45381500    2.90325000    1.24918200
 H                  0.17328400    2.76110800    0.44266900
 C                  0.24361100    2.60666600    2.43749700
 H                 -0.47409200    2.50416800    3.25540900
 H                  0.80705400    1.67031100    2.35934700
 H                  0.94797800    3.40447200    2.70559300
 O                 -2.35757600    1.20850300   -2.40177400
 C                 -3.64751900    0.61830100   -2.49771500
 H                 -3.60323800   -0.46593200   -2.35952100
 H                 -4.26081000    1.05192900   -1.70920900
 H                 -4.11003300    0.83774500   -3.46335100
 H                 -1.82333800    0.91280800   -3.14358500
 O                 -2.95832700    0.52006900    1.28073400
 C                 -3.94363600   -0.44094100    0.93203800
 H                 -4.29849500   -0.98053000    1.81500200
 H                 -4.78456400    0.09144200    0.48913300
 H                 -3.56132900   -1.16448400    0.20533000
 O                 -0.53600700   -0.80568100    1.76578900
 H                 -2.22871600    0.05189600    1.71607800
 O                 -0.85316000   -1.26993500   -0.44055800
 C                 -0.95259100   -2.00160900   -1.65332100
 H                 -1.36016600   -1.32621300   -2.40389700
 H                  0.02342300   -2.34971400   -1.99127400
 H                 -1.62800100   -2.85038800   -1.53796400
 O                  0.30211300   -2.86853300    1.04329800
 C                  0.63109300   -3.93532100    0.16582100
 H                 -0.26167000   -4.35779600   -0.29606000
 H                  1.32728600   -3.60807300   -0.60716200
 H                  1.11259700   -4.70485100    0.76807100</t>
    <phoneticPr fontId="1"/>
  </si>
  <si>
    <r>
      <t>(MeO)</t>
    </r>
    <r>
      <rPr>
        <vertAlign val="subscript"/>
        <sz val="10"/>
        <color theme="1"/>
        <rFont val="Arial"/>
        <family val="2"/>
      </rPr>
      <t>3</t>
    </r>
    <r>
      <rPr>
        <sz val="10"/>
        <color theme="1"/>
        <rFont val="Arial"/>
        <family val="2"/>
      </rPr>
      <t>B (via CyO reduction)</t>
    </r>
    <phoneticPr fontId="1"/>
  </si>
  <si>
    <r>
      <t>MeOH</t>
    </r>
    <r>
      <rPr>
        <sz val="10"/>
        <color theme="1"/>
        <rFont val="游ゴシック"/>
        <family val="2"/>
        <charset val="128"/>
      </rPr>
      <t>・</t>
    </r>
    <r>
      <rPr>
        <sz val="10"/>
        <color theme="1"/>
        <rFont val="Arial"/>
        <family val="2"/>
      </rPr>
      <t>(MeO)</t>
    </r>
    <r>
      <rPr>
        <vertAlign val="subscript"/>
        <sz val="10"/>
        <color theme="1"/>
        <rFont val="Arial"/>
        <family val="2"/>
      </rPr>
      <t>3</t>
    </r>
    <r>
      <rPr>
        <sz val="10"/>
        <color theme="1"/>
        <rFont val="Arial"/>
        <family val="2"/>
      </rPr>
      <t>B (via CyO reduction)</t>
    </r>
    <phoneticPr fontId="1"/>
  </si>
  <si>
    <r>
      <t>(MeO)</t>
    </r>
    <r>
      <rPr>
        <vertAlign val="subscript"/>
        <sz val="10"/>
        <color theme="1"/>
        <rFont val="Arial"/>
        <family val="2"/>
      </rPr>
      <t>4</t>
    </r>
    <r>
      <rPr>
        <sz val="10"/>
        <color theme="1"/>
        <rFont val="Arial"/>
        <family val="2"/>
      </rPr>
      <t>B</t>
    </r>
    <r>
      <rPr>
        <vertAlign val="superscript"/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 xml:space="preserve"> (via CyO reduction)</t>
    </r>
    <phoneticPr fontId="1"/>
  </si>
  <si>
    <r>
      <t>Na((MeO)</t>
    </r>
    <r>
      <rPr>
        <vertAlign val="subscript"/>
        <sz val="10"/>
        <color theme="1"/>
        <rFont val="Arial"/>
        <family val="2"/>
      </rPr>
      <t>4</t>
    </r>
    <r>
      <rPr>
        <sz val="10"/>
        <color theme="1"/>
        <rFont val="Arial"/>
        <family val="2"/>
      </rPr>
      <t>B)(MeOH)</t>
    </r>
    <r>
      <rPr>
        <vertAlign val="subscript"/>
        <sz val="10"/>
        <color theme="1"/>
        <rFont val="Arial"/>
        <family val="2"/>
      </rPr>
      <t>4</t>
    </r>
    <r>
      <rPr>
        <sz val="10"/>
        <color theme="1"/>
        <rFont val="Arial"/>
        <family val="2"/>
      </rPr>
      <t xml:space="preserve"> (via CyO reduction)</t>
    </r>
    <phoneticPr fontId="1"/>
  </si>
  <si>
    <t>CyO</t>
  </si>
  <si>
    <t>acetophenone</t>
  </si>
  <si>
    <t>methanolysis</t>
    <phoneticPr fontId="1"/>
  </si>
  <si>
    <t>eq</t>
  </si>
  <si>
    <t>ax</t>
  </si>
  <si>
    <r>
      <t>4‘-NO</t>
    </r>
    <r>
      <rPr>
        <vertAlign val="subscript"/>
        <sz val="10.5"/>
        <color theme="1"/>
        <rFont val="Times New Roman"/>
        <family val="1"/>
      </rPr>
      <t>2</t>
    </r>
  </si>
  <si>
    <t>H</t>
  </si>
  <si>
    <t>4‘-MeO</t>
  </si>
  <si>
    <r>
      <t>NaBH</t>
    </r>
    <r>
      <rPr>
        <vertAlign val="subscript"/>
        <sz val="10.5"/>
        <color theme="1"/>
        <rFont val="Times New Roman"/>
        <family val="1"/>
      </rPr>
      <t>4</t>
    </r>
  </si>
  <si>
    <r>
      <t>Na(MeO)BH</t>
    </r>
    <r>
      <rPr>
        <vertAlign val="subscript"/>
        <sz val="10.5"/>
        <color theme="1"/>
        <rFont val="Times New Roman"/>
        <family val="1"/>
      </rPr>
      <t>3</t>
    </r>
  </si>
  <si>
    <r>
      <t>Na(MeO)</t>
    </r>
    <r>
      <rPr>
        <vertAlign val="subscript"/>
        <sz val="10.5"/>
        <color theme="1"/>
        <rFont val="Times New Roman"/>
        <family val="1"/>
      </rPr>
      <t>2</t>
    </r>
    <r>
      <rPr>
        <sz val="10.5"/>
        <color theme="1"/>
        <rFont val="Times New Roman"/>
        <family val="1"/>
      </rPr>
      <t>BH</t>
    </r>
    <r>
      <rPr>
        <vertAlign val="subscript"/>
        <sz val="10.5"/>
        <color theme="1"/>
        <rFont val="Times New Roman"/>
        <family val="1"/>
      </rPr>
      <t>2</t>
    </r>
  </si>
  <si>
    <r>
      <t>Na(MeO)</t>
    </r>
    <r>
      <rPr>
        <vertAlign val="subscript"/>
        <sz val="10.5"/>
        <color theme="1"/>
        <rFont val="Times New Roman"/>
        <family val="1"/>
      </rPr>
      <t>3</t>
    </r>
    <r>
      <rPr>
        <sz val="10.5"/>
        <color theme="1"/>
        <rFont val="Times New Roman"/>
        <family val="1"/>
      </rPr>
      <t>BH</t>
    </r>
  </si>
  <si>
    <t>average</t>
    <phoneticPr fontId="1"/>
  </si>
  <si>
    <t>Experiment</t>
    <phoneticPr fontId="1"/>
  </si>
  <si>
    <t>-</t>
  </si>
  <si>
    <t>Bond Energy</t>
  </si>
  <si>
    <t>Orbital Energy</t>
  </si>
  <si>
    <t>Electrostatic Energy</t>
  </si>
  <si>
    <t>Pauli Energy</t>
  </si>
  <si>
    <t>Delta E^0(XC)</t>
  </si>
  <si>
    <t>Delta Dispersion</t>
  </si>
  <si>
    <t>benzophenone</t>
    <phoneticPr fontId="1"/>
  </si>
  <si>
    <t>Cyclohexanone (eq)</t>
  </si>
  <si>
    <t>Cyclohexanone (ax)</t>
  </si>
  <si>
    <t>total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</si>
</sst>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 "/>
    <numFmt numFmtId="177" formatCode="0.000000_ "/>
    <numFmt numFmtId="178" formatCode="0.0"/>
  </numFmts>
  <fonts count="4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0"/>
      <name val="Arial"/>
      <family val="2"/>
    </font>
    <font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b/>
      <sz val="10"/>
      <color theme="1"/>
      <name val="Arial"/>
      <family val="2"/>
    </font>
    <font>
      <vertAlign val="subscript"/>
      <sz val="10"/>
      <color theme="1"/>
      <name val="Arial"/>
      <family val="2"/>
    </font>
    <font>
      <sz val="10"/>
      <color theme="1"/>
      <name val="游ゴシック"/>
      <family val="2"/>
      <charset val="128"/>
    </font>
    <font>
      <b/>
      <vertAlign val="subscript"/>
      <sz val="10"/>
      <color theme="1"/>
      <name val="Arial"/>
      <family val="2"/>
    </font>
    <font>
      <b/>
      <vertAlign val="superscript"/>
      <sz val="10"/>
      <color theme="1"/>
      <name val="Arial"/>
      <family val="2"/>
    </font>
    <font>
      <sz val="10"/>
      <color theme="1"/>
      <name val="Arial"/>
      <family val="2"/>
      <charset val="161"/>
    </font>
    <font>
      <vertAlign val="superscript"/>
      <sz val="10"/>
      <color theme="1"/>
      <name val="游ゴシック"/>
      <family val="3"/>
      <charset val="128"/>
    </font>
    <font>
      <sz val="10"/>
      <color theme="1"/>
      <name val="ＭＳ Ｐゴシック"/>
      <family val="2"/>
      <charset val="128"/>
    </font>
    <font>
      <vertAlign val="subscript"/>
      <sz val="10"/>
      <color theme="1"/>
      <name val="Arial"/>
      <family val="3"/>
    </font>
    <font>
      <sz val="10"/>
      <color theme="1" tint="0.499984740745262"/>
      <name val="Arial"/>
      <family val="2"/>
    </font>
    <font>
      <sz val="10"/>
      <color theme="1" tint="0.499984740745262"/>
      <name val="游ゴシック"/>
      <family val="2"/>
      <charset val="128"/>
    </font>
    <font>
      <vertAlign val="subscript"/>
      <sz val="10"/>
      <color theme="1" tint="0.499984740745262"/>
      <name val="Arial"/>
      <family val="2"/>
    </font>
    <font>
      <vertAlign val="superscript"/>
      <sz val="10"/>
      <color theme="1" tint="0.499984740745262"/>
      <name val="游ゴシック"/>
      <family val="3"/>
      <charset val="128"/>
    </font>
    <font>
      <sz val="10"/>
      <color theme="1" tint="0.499984740745262"/>
      <name val="Arial"/>
      <family val="3"/>
    </font>
    <font>
      <vertAlign val="superscript"/>
      <sz val="10"/>
      <color theme="1" tint="0.499984740745262"/>
      <name val="Arial"/>
      <family val="2"/>
    </font>
    <font>
      <sz val="10"/>
      <color theme="1" tint="0.499984740745262"/>
      <name val="ＭＳ Ｐゴシック"/>
      <family val="3"/>
      <charset val="128"/>
    </font>
    <font>
      <sz val="10"/>
      <name val="Arial"/>
      <family val="2"/>
    </font>
    <font>
      <vertAlign val="subscript"/>
      <sz val="10"/>
      <name val="Arial"/>
      <family val="2"/>
    </font>
    <font>
      <vertAlign val="superscript"/>
      <sz val="10"/>
      <name val="ＭＳ Ｐゴシック"/>
      <family val="3"/>
      <charset val="128"/>
    </font>
    <font>
      <vertAlign val="superscript"/>
      <sz val="10"/>
      <name val="游ゴシック"/>
      <family val="3"/>
      <charset val="128"/>
    </font>
    <font>
      <b/>
      <vertAlign val="subscript"/>
      <sz val="10"/>
      <name val="Arial"/>
      <family val="2"/>
    </font>
    <font>
      <b/>
      <vertAlign val="superscript"/>
      <sz val="10"/>
      <name val="Arial"/>
      <family val="2"/>
    </font>
    <font>
      <sz val="10"/>
      <color theme="1" tint="0.499984740745262"/>
      <name val="Arial"/>
      <family val="2"/>
      <charset val="128"/>
    </font>
    <font>
      <sz val="10"/>
      <color theme="6"/>
      <name val="Arial"/>
      <family val="2"/>
    </font>
    <font>
      <vertAlign val="subscript"/>
      <sz val="10"/>
      <color theme="6"/>
      <name val="Arial"/>
      <family val="2"/>
    </font>
    <font>
      <vertAlign val="superscript"/>
      <sz val="10"/>
      <color theme="6"/>
      <name val="游ゴシック"/>
      <family val="3"/>
      <charset val="128"/>
    </font>
    <font>
      <i/>
      <sz val="10"/>
      <color theme="1" tint="0.499984740745262"/>
      <name val="Arial"/>
      <family val="2"/>
    </font>
    <font>
      <i/>
      <sz val="10"/>
      <name val="Arial"/>
      <family val="2"/>
    </font>
    <font>
      <i/>
      <sz val="10"/>
      <color theme="1"/>
      <name val="Arial"/>
      <family val="2"/>
    </font>
    <font>
      <vertAlign val="subscript"/>
      <sz val="10"/>
      <color theme="1" tint="0.499984740745262"/>
      <name val="游ゴシック"/>
      <family val="3"/>
      <charset val="128"/>
    </font>
    <font>
      <vertAlign val="superscript"/>
      <sz val="10"/>
      <color theme="6"/>
      <name val="Arial"/>
      <family val="2"/>
    </font>
    <font>
      <sz val="10.5"/>
      <color theme="1"/>
      <name val="Times New Roman"/>
      <family val="1"/>
    </font>
    <font>
      <vertAlign val="subscript"/>
      <sz val="10.5"/>
      <color theme="1"/>
      <name val="Times New Roman"/>
      <family val="1"/>
    </font>
    <font>
      <b/>
      <i/>
      <sz val="10"/>
      <color theme="1"/>
      <name val="Arial"/>
      <family val="2"/>
    </font>
    <font>
      <b/>
      <sz val="10"/>
      <color theme="1"/>
      <name val="游ゴシック"/>
      <family val="2"/>
      <charset val="128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/>
      <bottom/>
      <diagonal/>
    </border>
    <border diagonalUp="1">
      <left/>
      <right/>
      <top/>
      <bottom/>
      <diagonal style="thin">
        <color theme="1" tint="0.499984740745262"/>
      </diagonal>
    </border>
    <border>
      <left/>
      <right/>
      <top/>
      <bottom style="thin">
        <color theme="1" tint="0.499984740745262"/>
      </bottom>
      <diagonal/>
    </border>
    <border>
      <left style="thin">
        <color indexed="64"/>
      </left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 style="thin">
        <color indexed="64"/>
      </left>
      <right/>
      <top style="thin">
        <color theme="1" tint="0.499984740745262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theme="1" tint="0.499984740745262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72">
    <xf numFmtId="0" fontId="0" fillId="0" borderId="0" xfId="0">
      <alignment vertical="center"/>
    </xf>
    <xf numFmtId="0" fontId="3" fillId="0" borderId="0" xfId="0" applyFont="1">
      <alignment vertical="center"/>
    </xf>
    <xf numFmtId="176" fontId="3" fillId="0" borderId="0" xfId="0" applyNumberFormat="1" applyFont="1">
      <alignment vertical="center"/>
    </xf>
    <xf numFmtId="0" fontId="5" fillId="2" borderId="0" xfId="0" applyFont="1" applyFill="1">
      <alignment vertical="center"/>
    </xf>
    <xf numFmtId="0" fontId="3" fillId="2" borderId="0" xfId="0" applyFont="1" applyFill="1">
      <alignment vertical="center"/>
    </xf>
    <xf numFmtId="176" fontId="3" fillId="2" borderId="0" xfId="0" applyNumberFormat="1" applyFont="1" applyFill="1">
      <alignment vertical="center"/>
    </xf>
    <xf numFmtId="0" fontId="12" fillId="0" borderId="0" xfId="0" applyFont="1">
      <alignment vertical="center"/>
    </xf>
    <xf numFmtId="177" fontId="3" fillId="0" borderId="0" xfId="0" applyNumberFormat="1" applyFont="1">
      <alignment vertical="center"/>
    </xf>
    <xf numFmtId="177" fontId="3" fillId="2" borderId="0" xfId="0" applyNumberFormat="1" applyFont="1" applyFill="1">
      <alignment vertical="center"/>
    </xf>
    <xf numFmtId="49" fontId="3" fillId="0" borderId="1" xfId="0" applyNumberFormat="1" applyFont="1" applyBorder="1">
      <alignment vertical="center"/>
    </xf>
    <xf numFmtId="49" fontId="5" fillId="2" borderId="1" xfId="0" applyNumberFormat="1" applyFont="1" applyFill="1" applyBorder="1">
      <alignment vertical="center"/>
    </xf>
    <xf numFmtId="0" fontId="14" fillId="0" borderId="0" xfId="0" applyFont="1">
      <alignment vertical="center"/>
    </xf>
    <xf numFmtId="49" fontId="14" fillId="0" borderId="1" xfId="0" applyNumberFormat="1" applyFont="1" applyBorder="1">
      <alignment vertical="center"/>
    </xf>
    <xf numFmtId="177" fontId="14" fillId="0" borderId="0" xfId="0" applyNumberFormat="1" applyFont="1">
      <alignment vertical="center"/>
    </xf>
    <xf numFmtId="176" fontId="14" fillId="0" borderId="0" xfId="0" applyNumberFormat="1" applyFont="1">
      <alignment vertical="center"/>
    </xf>
    <xf numFmtId="0" fontId="21" fillId="0" borderId="0" xfId="0" applyFont="1">
      <alignment vertical="center"/>
    </xf>
    <xf numFmtId="177" fontId="21" fillId="0" borderId="0" xfId="0" applyNumberFormat="1" applyFont="1">
      <alignment vertical="center"/>
    </xf>
    <xf numFmtId="176" fontId="21" fillId="0" borderId="0" xfId="0" applyNumberFormat="1" applyFont="1">
      <alignment vertical="center"/>
    </xf>
    <xf numFmtId="0" fontId="27" fillId="0" borderId="0" xfId="0" applyFont="1">
      <alignment vertical="center"/>
    </xf>
    <xf numFmtId="0" fontId="5" fillId="0" borderId="0" xfId="0" applyFont="1">
      <alignment vertical="center"/>
    </xf>
    <xf numFmtId="0" fontId="28" fillId="0" borderId="0" xfId="0" applyFont="1">
      <alignment vertical="center"/>
    </xf>
    <xf numFmtId="49" fontId="28" fillId="0" borderId="1" xfId="0" applyNumberFormat="1" applyFont="1" applyBorder="1">
      <alignment vertical="center"/>
    </xf>
    <xf numFmtId="177" fontId="28" fillId="0" borderId="0" xfId="0" applyNumberFormat="1" applyFont="1">
      <alignment vertical="center"/>
    </xf>
    <xf numFmtId="176" fontId="28" fillId="0" borderId="0" xfId="0" applyNumberFormat="1" applyFont="1">
      <alignment vertical="center"/>
    </xf>
    <xf numFmtId="0" fontId="3" fillId="0" borderId="2" xfId="0" applyFont="1" applyBorder="1">
      <alignment vertical="center"/>
    </xf>
    <xf numFmtId="0" fontId="5" fillId="2" borderId="5" xfId="0" applyFont="1" applyFill="1" applyBorder="1">
      <alignment vertical="center"/>
    </xf>
    <xf numFmtId="49" fontId="5" fillId="2" borderId="6" xfId="0" applyNumberFormat="1" applyFont="1" applyFill="1" applyBorder="1">
      <alignment vertical="center"/>
    </xf>
    <xf numFmtId="177" fontId="5" fillId="2" borderId="5" xfId="0" applyNumberFormat="1" applyFont="1" applyFill="1" applyBorder="1">
      <alignment vertical="center"/>
    </xf>
    <xf numFmtId="176" fontId="5" fillId="2" borderId="5" xfId="0" applyNumberFormat="1" applyFont="1" applyFill="1" applyBorder="1">
      <alignment vertical="center"/>
    </xf>
    <xf numFmtId="0" fontId="3" fillId="0" borderId="5" xfId="0" applyFont="1" applyBorder="1">
      <alignment vertical="center"/>
    </xf>
    <xf numFmtId="0" fontId="3" fillId="2" borderId="5" xfId="0" applyFont="1" applyFill="1" applyBorder="1">
      <alignment vertical="center"/>
    </xf>
    <xf numFmtId="177" fontId="3" fillId="2" borderId="5" xfId="0" applyNumberFormat="1" applyFont="1" applyFill="1" applyBorder="1">
      <alignment vertical="center"/>
    </xf>
    <xf numFmtId="176" fontId="3" fillId="2" borderId="5" xfId="0" applyNumberFormat="1" applyFont="1" applyFill="1" applyBorder="1">
      <alignment vertical="center"/>
    </xf>
    <xf numFmtId="0" fontId="2" fillId="2" borderId="5" xfId="0" applyFont="1" applyFill="1" applyBorder="1">
      <alignment vertical="center"/>
    </xf>
    <xf numFmtId="49" fontId="2" fillId="2" borderId="6" xfId="0" applyNumberFormat="1" applyFont="1" applyFill="1" applyBorder="1">
      <alignment vertical="center"/>
    </xf>
    <xf numFmtId="177" fontId="2" fillId="2" borderId="5" xfId="0" applyNumberFormat="1" applyFont="1" applyFill="1" applyBorder="1">
      <alignment vertical="center"/>
    </xf>
    <xf numFmtId="176" fontId="2" fillId="2" borderId="5" xfId="0" applyNumberFormat="1" applyFont="1" applyFill="1" applyBorder="1">
      <alignment vertical="center"/>
    </xf>
    <xf numFmtId="0" fontId="21" fillId="0" borderId="5" xfId="0" applyFont="1" applyBorder="1">
      <alignment vertical="center"/>
    </xf>
    <xf numFmtId="0" fontId="21" fillId="2" borderId="5" xfId="0" applyFont="1" applyFill="1" applyBorder="1">
      <alignment vertical="center"/>
    </xf>
    <xf numFmtId="177" fontId="21" fillId="2" borderId="5" xfId="0" applyNumberFormat="1" applyFont="1" applyFill="1" applyBorder="1">
      <alignment vertical="center"/>
    </xf>
    <xf numFmtId="176" fontId="21" fillId="2" borderId="5" xfId="0" applyNumberFormat="1" applyFont="1" applyFill="1" applyBorder="1">
      <alignment vertical="center"/>
    </xf>
    <xf numFmtId="49" fontId="3" fillId="0" borderId="1" xfId="0" quotePrefix="1" applyNumberFormat="1" applyFont="1" applyBorder="1">
      <alignment vertical="center"/>
    </xf>
    <xf numFmtId="49" fontId="14" fillId="0" borderId="0" xfId="0" applyNumberFormat="1" applyFont="1">
      <alignment vertical="center"/>
    </xf>
    <xf numFmtId="0" fontId="14" fillId="0" borderId="2" xfId="0" applyFont="1" applyBorder="1">
      <alignment vertical="center"/>
    </xf>
    <xf numFmtId="0" fontId="36" fillId="0" borderId="7" xfId="0" applyFont="1" applyBorder="1" applyAlignment="1">
      <alignment horizontal="justify" vertical="center" wrapText="1"/>
    </xf>
    <xf numFmtId="0" fontId="36" fillId="0" borderId="0" xfId="0" applyFont="1" applyAlignment="1">
      <alignment horizontal="justify" vertical="center" wrapText="1"/>
    </xf>
    <xf numFmtId="0" fontId="36" fillId="0" borderId="8" xfId="0" applyFont="1" applyBorder="1" applyAlignment="1">
      <alignment horizontal="justify" vertical="center" wrapText="1"/>
    </xf>
    <xf numFmtId="0" fontId="14" fillId="0" borderId="10" xfId="0" applyFont="1" applyBorder="1">
      <alignment vertical="center"/>
    </xf>
    <xf numFmtId="0" fontId="14" fillId="0" borderId="9" xfId="0" applyFont="1" applyBorder="1">
      <alignment vertical="center"/>
    </xf>
    <xf numFmtId="0" fontId="3" fillId="0" borderId="10" xfId="0" applyFont="1" applyBorder="1">
      <alignment vertical="center"/>
    </xf>
    <xf numFmtId="0" fontId="3" fillId="0" borderId="9" xfId="0" applyFont="1" applyBorder="1">
      <alignment vertical="center"/>
    </xf>
    <xf numFmtId="0" fontId="28" fillId="0" borderId="2" xfId="0" applyFont="1" applyBorder="1">
      <alignment vertical="center"/>
    </xf>
    <xf numFmtId="0" fontId="28" fillId="0" borderId="10" xfId="0" applyFont="1" applyBorder="1">
      <alignment vertical="center"/>
    </xf>
    <xf numFmtId="49" fontId="21" fillId="0" borderId="1" xfId="0" applyNumberFormat="1" applyFont="1" applyBorder="1">
      <alignment vertical="center"/>
    </xf>
    <xf numFmtId="0" fontId="21" fillId="0" borderId="2" xfId="0" applyFont="1" applyBorder="1">
      <alignment vertical="center"/>
    </xf>
    <xf numFmtId="0" fontId="5" fillId="3" borderId="0" xfId="0" applyFont="1" applyFill="1">
      <alignment vertical="center"/>
    </xf>
    <xf numFmtId="49" fontId="5" fillId="3" borderId="1" xfId="0" applyNumberFormat="1" applyFont="1" applyFill="1" applyBorder="1">
      <alignment vertical="center"/>
    </xf>
    <xf numFmtId="176" fontId="5" fillId="3" borderId="0" xfId="0" applyNumberFormat="1" applyFont="1" applyFill="1">
      <alignment vertical="center"/>
    </xf>
    <xf numFmtId="0" fontId="5" fillId="3" borderId="3" xfId="0" applyFont="1" applyFill="1" applyBorder="1">
      <alignment vertical="center"/>
    </xf>
    <xf numFmtId="49" fontId="5" fillId="3" borderId="4" xfId="0" applyNumberFormat="1" applyFont="1" applyFill="1" applyBorder="1">
      <alignment vertical="center"/>
    </xf>
    <xf numFmtId="0" fontId="5" fillId="3" borderId="3" xfId="0" applyFont="1" applyFill="1" applyBorder="1" applyAlignment="1">
      <alignment vertical="center" wrapText="1"/>
    </xf>
    <xf numFmtId="177" fontId="5" fillId="3" borderId="3" xfId="0" applyNumberFormat="1" applyFont="1" applyFill="1" applyBorder="1" applyAlignment="1">
      <alignment vertical="center" wrapText="1"/>
    </xf>
    <xf numFmtId="176" fontId="5" fillId="3" borderId="3" xfId="0" applyNumberFormat="1" applyFont="1" applyFill="1" applyBorder="1" applyAlignment="1">
      <alignment vertical="center" wrapText="1"/>
    </xf>
    <xf numFmtId="0" fontId="5" fillId="3" borderId="0" xfId="0" applyFont="1" applyFill="1" applyAlignment="1">
      <alignment vertical="center" wrapText="1"/>
    </xf>
    <xf numFmtId="178" fontId="36" fillId="0" borderId="0" xfId="0" applyNumberFormat="1" applyFont="1" applyAlignment="1">
      <alignment horizontal="justify" vertical="center" wrapText="1"/>
    </xf>
    <xf numFmtId="178" fontId="36" fillId="0" borderId="8" xfId="0" applyNumberFormat="1" applyFont="1" applyBorder="1" applyAlignment="1">
      <alignment horizontal="justify" vertical="center" wrapText="1"/>
    </xf>
    <xf numFmtId="0" fontId="40" fillId="0" borderId="0" xfId="0" applyFont="1">
      <alignment vertical="center"/>
    </xf>
    <xf numFmtId="0" fontId="40" fillId="0" borderId="0" xfId="0" applyFont="1" applyAlignment="1">
      <alignment horizontal="justify" vertical="center"/>
    </xf>
    <xf numFmtId="0" fontId="14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36" fillId="0" borderId="7" xfId="0" applyFont="1" applyBorder="1" applyAlignment="1">
      <alignment horizontal="center" vertical="center" wrapText="1"/>
    </xf>
    <xf numFmtId="0" fontId="36" fillId="0" borderId="7" xfId="0" applyFont="1" applyBorder="1" applyAlignment="1">
      <alignment horizontal="justify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6E418-27F0-41A6-816F-F0058EAF3E43}">
  <dimension ref="A1:J116"/>
  <sheetViews>
    <sheetView tabSelected="1" zoomScale="65" zoomScaleNormal="82" workbookViewId="0">
      <pane xSplit="1" ySplit="2" topLeftCell="B72" activePane="bottomRight" state="frozen"/>
      <selection pane="topRight" activeCell="B1" sqref="B1"/>
      <selection pane="bottomLeft" activeCell="A3" sqref="A3"/>
      <selection pane="bottomRight" activeCell="A75" sqref="A75"/>
    </sheetView>
  </sheetViews>
  <sheetFormatPr defaultColWidth="8.625" defaultRowHeight="12.75" x14ac:dyDescent="0.4"/>
  <cols>
    <col min="1" max="1" width="46.625" style="1" customWidth="1"/>
    <col min="2" max="2" width="47.875" style="9" customWidth="1"/>
    <col min="3" max="3" width="12" style="1" bestFit="1" customWidth="1"/>
    <col min="4" max="4" width="8.75" style="1" bestFit="1" customWidth="1"/>
    <col min="5" max="5" width="13.125" style="1" bestFit="1" customWidth="1"/>
    <col min="6" max="6" width="12.125" style="1" customWidth="1"/>
    <col min="7" max="7" width="12.375" style="7" bestFit="1" customWidth="1"/>
    <col min="8" max="8" width="13.5" style="2" bestFit="1" customWidth="1"/>
    <col min="9" max="9" width="15.5" style="2" bestFit="1" customWidth="1"/>
    <col min="10" max="10" width="13.5" style="1" customWidth="1"/>
    <col min="11" max="16384" width="8.625" style="1"/>
  </cols>
  <sheetData>
    <row r="1" spans="1:10" s="55" customFormat="1" ht="18.75" customHeight="1" x14ac:dyDescent="0.4">
      <c r="B1" s="56" t="s">
        <v>0</v>
      </c>
      <c r="H1" s="57"/>
    </row>
    <row r="2" spans="1:10" s="58" customFormat="1" ht="33" x14ac:dyDescent="0.4">
      <c r="B2" s="59" t="s">
        <v>1</v>
      </c>
      <c r="C2" s="60" t="s">
        <v>2</v>
      </c>
      <c r="D2" s="58" t="s">
        <v>3</v>
      </c>
      <c r="E2" s="60" t="s">
        <v>4</v>
      </c>
      <c r="F2" s="60" t="s">
        <v>5</v>
      </c>
      <c r="G2" s="61" t="s">
        <v>6</v>
      </c>
      <c r="H2" s="62" t="s">
        <v>7</v>
      </c>
      <c r="I2" s="62" t="s">
        <v>8</v>
      </c>
      <c r="J2" s="63" t="s">
        <v>9</v>
      </c>
    </row>
    <row r="3" spans="1:10" x14ac:dyDescent="0.4">
      <c r="A3" s="3" t="s">
        <v>10</v>
      </c>
      <c r="B3" s="10"/>
      <c r="C3" s="4"/>
      <c r="D3" s="4"/>
      <c r="E3" s="4"/>
      <c r="F3" s="4"/>
      <c r="G3" s="8"/>
      <c r="H3" s="5"/>
      <c r="I3" s="5"/>
      <c r="J3" s="4"/>
    </row>
    <row r="4" spans="1:10" x14ac:dyDescent="0.4">
      <c r="A4" s="1" t="s">
        <v>11</v>
      </c>
      <c r="B4" s="9" t="s">
        <v>12</v>
      </c>
      <c r="C4" s="1">
        <v>-115.714293</v>
      </c>
      <c r="D4" s="1">
        <v>24.719000000000001</v>
      </c>
      <c r="E4" s="1">
        <f>0.593*LN(D4/0.0409)/627.5095</f>
        <v>6.0520024876367642E-3</v>
      </c>
      <c r="F4" s="1">
        <f>E4+C4</f>
        <v>-115.70824099751236</v>
      </c>
      <c r="G4" s="7">
        <v>0</v>
      </c>
      <c r="H4" s="2">
        <f>627.5095*G4</f>
        <v>0</v>
      </c>
      <c r="I4" s="2">
        <f>H4</f>
        <v>0</v>
      </c>
    </row>
    <row r="5" spans="1:10" ht="15.75" x14ac:dyDescent="0.4">
      <c r="A5" s="1" t="s">
        <v>13</v>
      </c>
      <c r="B5" s="9" t="s">
        <v>14</v>
      </c>
      <c r="C5" s="1">
        <v>-116.12455799999999</v>
      </c>
      <c r="D5" s="24"/>
      <c r="E5" s="24"/>
      <c r="F5" s="1">
        <f>E5+C5</f>
        <v>-116.12455799999999</v>
      </c>
      <c r="G5" s="7">
        <f>F5+F6-2*F4</f>
        <v>3.4316651674544119E-2</v>
      </c>
      <c r="H5" s="2">
        <f>627.5095*G5</f>
        <v>21.534024933967341</v>
      </c>
      <c r="I5" s="2">
        <f t="shared" ref="I5:I6" si="0">H5</f>
        <v>21.534024933967341</v>
      </c>
    </row>
    <row r="6" spans="1:10" ht="14.25" x14ac:dyDescent="0.4">
      <c r="A6" s="1" t="s">
        <v>15</v>
      </c>
      <c r="B6" s="41" t="s">
        <v>16</v>
      </c>
      <c r="C6" s="1">
        <f>-115.091076</f>
        <v>-115.091076</v>
      </c>
      <c r="D6" s="24"/>
      <c r="E6" s="1">
        <f>-104.5/627.5095</f>
        <v>-0.16653134335018036</v>
      </c>
      <c r="F6" s="1">
        <f>E6+C6</f>
        <v>-115.25760734335019</v>
      </c>
      <c r="G6" s="7">
        <v>0</v>
      </c>
      <c r="H6" s="2">
        <f>627.5095*G6</f>
        <v>0</v>
      </c>
      <c r="I6" s="2">
        <f t="shared" si="0"/>
        <v>0</v>
      </c>
      <c r="J6" s="6" t="s">
        <v>17</v>
      </c>
    </row>
    <row r="7" spans="1:10" s="29" customFormat="1" x14ac:dyDescent="0.4">
      <c r="A7" s="25" t="s">
        <v>18</v>
      </c>
      <c r="B7" s="26"/>
      <c r="C7" s="25"/>
      <c r="D7" s="25"/>
      <c r="E7" s="25"/>
      <c r="F7" s="25"/>
      <c r="G7" s="27"/>
      <c r="H7" s="28"/>
      <c r="I7" s="28"/>
      <c r="J7" s="25"/>
    </row>
    <row r="8" spans="1:10" ht="15.75" x14ac:dyDescent="0.4">
      <c r="A8" s="1" t="s">
        <v>19</v>
      </c>
      <c r="B8" s="9" t="s">
        <v>20</v>
      </c>
      <c r="C8" s="1">
        <v>-740.77760000000001</v>
      </c>
      <c r="D8" s="1">
        <v>0.05</v>
      </c>
      <c r="E8" s="1">
        <f>0.593*LN(D8/0.0409)/627.5095</f>
        <v>1.8984495825318708E-4</v>
      </c>
      <c r="F8" s="1">
        <f>E8+C8</f>
        <v>-740.77741015504171</v>
      </c>
      <c r="G8" s="7">
        <v>0</v>
      </c>
      <c r="H8" s="2">
        <f>627.5095*G8</f>
        <v>0</v>
      </c>
      <c r="I8" s="2">
        <f>H8</f>
        <v>0</v>
      </c>
    </row>
    <row r="9" spans="1:10" s="11" customFormat="1" ht="15.75" x14ac:dyDescent="0.4">
      <c r="A9" s="11" t="s">
        <v>21</v>
      </c>
      <c r="B9" s="12" t="s">
        <v>22</v>
      </c>
      <c r="C9" s="11">
        <v>-162.09642600000001</v>
      </c>
      <c r="D9" s="24"/>
      <c r="E9" s="24"/>
      <c r="F9" s="11">
        <f>E9+C9</f>
        <v>-162.09642600000001</v>
      </c>
      <c r="G9" s="13">
        <f>F9+5*F4-F8</f>
        <v>0.13977916747990093</v>
      </c>
      <c r="H9" s="14">
        <f>627.5095*G9</f>
        <v>87.712755495728899</v>
      </c>
      <c r="I9" s="14">
        <f>H9</f>
        <v>87.712755495728899</v>
      </c>
      <c r="J9" s="11" t="s">
        <v>23</v>
      </c>
    </row>
    <row r="10" spans="1:10" s="29" customFormat="1" ht="14.25" x14ac:dyDescent="0.4">
      <c r="A10" s="25" t="s">
        <v>24</v>
      </c>
      <c r="B10" s="26"/>
      <c r="C10" s="30"/>
      <c r="D10" s="30"/>
      <c r="E10" s="30"/>
      <c r="F10" s="30"/>
      <c r="G10" s="31"/>
      <c r="H10" s="32"/>
      <c r="I10" s="32"/>
      <c r="J10" s="30"/>
    </row>
    <row r="11" spans="1:10" ht="18" customHeight="1" x14ac:dyDescent="0.4">
      <c r="A11" s="1" t="s">
        <v>25</v>
      </c>
      <c r="B11" s="9" t="s">
        <v>26</v>
      </c>
      <c r="C11" s="1">
        <v>-652.41850599999998</v>
      </c>
      <c r="D11" s="1">
        <v>0.05</v>
      </c>
      <c r="E11" s="1">
        <f>0.593*LN(D11/0.0409)/627.5095</f>
        <v>1.8984495825318708E-4</v>
      </c>
      <c r="F11" s="1">
        <f>E11+C11</f>
        <v>-652.41831615504168</v>
      </c>
      <c r="G11" s="7">
        <v>0</v>
      </c>
      <c r="H11" s="2">
        <f t="shared" ref="H11:H22" si="1">627.5095*G11</f>
        <v>0</v>
      </c>
      <c r="I11" s="2">
        <f>H11</f>
        <v>0</v>
      </c>
    </row>
    <row r="12" spans="1:10" s="11" customFormat="1" ht="18" customHeight="1" x14ac:dyDescent="0.4">
      <c r="A12" s="47" t="s">
        <v>27</v>
      </c>
      <c r="B12" s="42" t="s">
        <v>28</v>
      </c>
      <c r="C12" s="11">
        <v>-962.21782800000005</v>
      </c>
      <c r="D12" s="43"/>
      <c r="E12" s="43"/>
      <c r="F12" s="11">
        <v>-962.21782800000005</v>
      </c>
      <c r="G12" s="13">
        <f>F12-F34-F11</f>
        <v>4.0472541302278842E-3</v>
      </c>
      <c r="H12" s="14">
        <f t="shared" si="1"/>
        <v>2.5396904156322346</v>
      </c>
      <c r="I12" s="14">
        <f t="shared" ref="I12:I22" si="2">H12</f>
        <v>2.5396904156322346</v>
      </c>
    </row>
    <row r="13" spans="1:10" s="11" customFormat="1" ht="18" x14ac:dyDescent="0.4">
      <c r="A13" s="47" t="s">
        <v>29</v>
      </c>
      <c r="B13" s="42" t="s">
        <v>30</v>
      </c>
      <c r="C13" s="11">
        <v>-962.17966999999999</v>
      </c>
      <c r="D13" s="43"/>
      <c r="E13" s="43"/>
      <c r="F13" s="11">
        <f t="shared" ref="F13:F19" si="3">E13+C13</f>
        <v>-962.17966999999999</v>
      </c>
      <c r="G13" s="13">
        <f>F13-F34-F11</f>
        <v>4.2205254130294634E-2</v>
      </c>
      <c r="H13" s="14">
        <f t="shared" si="1"/>
        <v>26.48419791667412</v>
      </c>
      <c r="I13" s="14">
        <f t="shared" si="2"/>
        <v>26.48419791667412</v>
      </c>
      <c r="J13" s="2" t="s">
        <v>31</v>
      </c>
    </row>
    <row r="14" spans="1:10" s="11" customFormat="1" ht="18" x14ac:dyDescent="0.4">
      <c r="A14" s="47" t="s">
        <v>32</v>
      </c>
      <c r="B14" s="42" t="s">
        <v>33</v>
      </c>
      <c r="C14" s="11">
        <v>-962.17562899999996</v>
      </c>
      <c r="D14" s="43"/>
      <c r="E14" s="43"/>
      <c r="F14" s="11">
        <f t="shared" si="3"/>
        <v>-962.17562899999996</v>
      </c>
      <c r="G14" s="13">
        <f>F14-F34-F11</f>
        <v>4.6246254130323905E-2</v>
      </c>
      <c r="H14" s="14">
        <f t="shared" si="1"/>
        <v>29.019963806192489</v>
      </c>
      <c r="I14" s="14">
        <f t="shared" si="2"/>
        <v>29.019963806192489</v>
      </c>
    </row>
    <row r="15" spans="1:10" s="11" customFormat="1" ht="18" customHeight="1" x14ac:dyDescent="0.4">
      <c r="A15" s="47" t="s">
        <v>34</v>
      </c>
      <c r="B15" s="42" t="s">
        <v>35</v>
      </c>
      <c r="C15" s="11">
        <v>-1228.8715580000001</v>
      </c>
      <c r="D15" s="43"/>
      <c r="E15" s="43"/>
      <c r="F15" s="11">
        <f t="shared" si="3"/>
        <v>-1228.8715580000001</v>
      </c>
      <c r="G15" s="13">
        <f>F15-F51-F11</f>
        <v>4.2290254130193716E-2</v>
      </c>
      <c r="H15" s="14">
        <f>627.5095*G15</f>
        <v>26.537536224110795</v>
      </c>
      <c r="I15" s="14">
        <f>H15</f>
        <v>26.537536224110795</v>
      </c>
    </row>
    <row r="16" spans="1:10" s="11" customFormat="1" ht="18" customHeight="1" x14ac:dyDescent="0.4">
      <c r="A16" s="47" t="s">
        <v>36</v>
      </c>
      <c r="B16" s="42" t="s">
        <v>37</v>
      </c>
      <c r="C16" s="11">
        <v>-1037.184673</v>
      </c>
      <c r="D16" s="43"/>
      <c r="E16" s="43"/>
      <c r="F16" s="11">
        <f t="shared" si="3"/>
        <v>-1037.184673</v>
      </c>
      <c r="G16" s="13">
        <f>F16-F53-F11</f>
        <v>4.3682254130203546E-2</v>
      </c>
      <c r="H16" s="14">
        <f t="shared" si="1"/>
        <v>27.411029448116963</v>
      </c>
      <c r="I16" s="14">
        <f t="shared" si="2"/>
        <v>27.411029448116963</v>
      </c>
    </row>
    <row r="17" spans="1:10" s="11" customFormat="1" ht="18" customHeight="1" x14ac:dyDescent="0.4">
      <c r="A17" s="47" t="s">
        <v>38</v>
      </c>
      <c r="B17" s="42" t="s">
        <v>39</v>
      </c>
      <c r="C17" s="11">
        <v>-1241.710859</v>
      </c>
      <c r="D17" s="43"/>
      <c r="E17" s="43"/>
      <c r="F17" s="11">
        <f t="shared" si="3"/>
        <v>-1241.710859</v>
      </c>
      <c r="G17" s="13">
        <f>F17-F55-F11</f>
        <v>3.9779254130280606E-2</v>
      </c>
      <c r="H17" s="14">
        <f t="shared" ref="H17" si="4">627.5095*G17</f>
        <v>24.961859869665318</v>
      </c>
      <c r="I17" s="14">
        <f t="shared" ref="I17" si="5">H17</f>
        <v>24.961859869665318</v>
      </c>
    </row>
    <row r="18" spans="1:10" s="11" customFormat="1" ht="18" customHeight="1" x14ac:dyDescent="0.4">
      <c r="A18" s="47" t="s">
        <v>40</v>
      </c>
      <c r="B18" s="42" t="s">
        <v>41</v>
      </c>
      <c r="C18" s="11">
        <v>-1151.688492</v>
      </c>
      <c r="D18" s="43"/>
      <c r="E18" s="43"/>
      <c r="F18" s="11">
        <f t="shared" si="3"/>
        <v>-1151.688492</v>
      </c>
      <c r="G18" s="13">
        <f>F18-F57-F11</f>
        <v>4.8747254130262263E-2</v>
      </c>
      <c r="H18" s="14">
        <f t="shared" si="1"/>
        <v>30.589365065653809</v>
      </c>
      <c r="I18" s="14">
        <f t="shared" si="2"/>
        <v>30.589365065653809</v>
      </c>
    </row>
    <row r="19" spans="1:10" s="11" customFormat="1" ht="15.75" x14ac:dyDescent="0.4">
      <c r="A19" s="47" t="s">
        <v>42</v>
      </c>
      <c r="B19" s="42" t="s">
        <v>43</v>
      </c>
      <c r="C19" s="11">
        <v>-962.20466999999996</v>
      </c>
      <c r="D19" s="43"/>
      <c r="E19" s="43"/>
      <c r="F19" s="11">
        <f t="shared" si="3"/>
        <v>-962.20466999999996</v>
      </c>
      <c r="G19" s="13">
        <f>F19-F34-F11</f>
        <v>1.7205254130317371E-2</v>
      </c>
      <c r="H19" s="14">
        <f t="shared" si="1"/>
        <v>10.796460416688388</v>
      </c>
      <c r="I19" s="14">
        <f t="shared" si="2"/>
        <v>10.796460416688388</v>
      </c>
    </row>
    <row r="20" spans="1:10" s="11" customFormat="1" ht="18" customHeight="1" x14ac:dyDescent="0.4">
      <c r="A20" s="47" t="s">
        <v>44</v>
      </c>
      <c r="B20" s="43"/>
      <c r="C20" s="43"/>
      <c r="D20" s="43"/>
      <c r="E20" s="43"/>
      <c r="F20" s="11">
        <f>F30</f>
        <v>-142.334079</v>
      </c>
      <c r="G20" s="13">
        <f>F20+F8+F60-3*F4-(F11-G11)-F34+F6</f>
        <v>-1.3663251724679526E-2</v>
      </c>
      <c r="H20" s="14">
        <f t="shared" si="1"/>
        <v>-8.5738202581277871</v>
      </c>
      <c r="I20" s="14">
        <f t="shared" si="2"/>
        <v>-8.5738202581277871</v>
      </c>
    </row>
    <row r="21" spans="1:10" s="11" customFormat="1" ht="18" customHeight="1" x14ac:dyDescent="0.4">
      <c r="A21" s="47" t="s">
        <v>45</v>
      </c>
      <c r="B21" s="43"/>
      <c r="C21" s="43"/>
      <c r="D21" s="43"/>
      <c r="E21" s="43"/>
      <c r="F21" s="11">
        <f>F31</f>
        <v>-141.888319</v>
      </c>
      <c r="G21" s="13">
        <f>F21+F8+F60-3*F4-(F11-G11)-F34+F4</f>
        <v>-1.8536905886790578E-2</v>
      </c>
      <c r="H21" s="14">
        <f t="shared" si="1"/>
        <v>-11.632084544567013</v>
      </c>
      <c r="I21" s="14">
        <f t="shared" si="2"/>
        <v>-11.632084544567013</v>
      </c>
    </row>
    <row r="22" spans="1:10" s="11" customFormat="1" ht="18" customHeight="1" x14ac:dyDescent="0.4">
      <c r="A22" s="48" t="s">
        <v>46</v>
      </c>
      <c r="B22" s="43"/>
      <c r="C22" s="43"/>
      <c r="D22" s="43"/>
      <c r="E22" s="43"/>
      <c r="F22" s="11">
        <f>F32</f>
        <v>-766.96318799999995</v>
      </c>
      <c r="G22" s="13">
        <f>F22+F60-F4-(F11-G11)-F34</f>
        <v>-2.4236748357452598E-2</v>
      </c>
      <c r="H22" s="14">
        <f t="shared" si="1"/>
        <v>-15.208789843410901</v>
      </c>
      <c r="I22" s="14">
        <f t="shared" si="2"/>
        <v>-15.208789843410901</v>
      </c>
    </row>
    <row r="23" spans="1:10" s="29" customFormat="1" ht="14.25" x14ac:dyDescent="0.4">
      <c r="A23" s="25" t="s">
        <v>47</v>
      </c>
      <c r="B23" s="26"/>
      <c r="C23" s="30"/>
      <c r="D23" s="30"/>
      <c r="E23" s="30"/>
      <c r="F23" s="30"/>
      <c r="G23" s="31"/>
      <c r="H23" s="32"/>
      <c r="I23" s="32"/>
      <c r="J23" s="30"/>
    </row>
    <row r="24" spans="1:10" s="15" customFormat="1" ht="18" customHeight="1" x14ac:dyDescent="0.4">
      <c r="A24" s="15" t="s">
        <v>48</v>
      </c>
      <c r="B24" s="9" t="s">
        <v>49</v>
      </c>
      <c r="C24" s="15">
        <v>-27.346349</v>
      </c>
      <c r="D24" s="24"/>
      <c r="E24" s="24"/>
      <c r="F24" s="15">
        <f t="shared" ref="F24:F32" si="6">E24+C24</f>
        <v>-27.346349</v>
      </c>
      <c r="G24" s="16">
        <f>F24+F8-F11-F4</f>
        <v>2.7979975123031409E-3</v>
      </c>
      <c r="H24" s="17">
        <f t="shared" ref="H24:H32" si="7">627.5095*G24</f>
        <v>1.7557700199465878</v>
      </c>
      <c r="I24" s="17">
        <f>H24</f>
        <v>1.7557700199465878</v>
      </c>
    </row>
    <row r="25" spans="1:10" ht="16.5" x14ac:dyDescent="0.4">
      <c r="A25" s="1" t="s">
        <v>50</v>
      </c>
      <c r="B25" s="9" t="s">
        <v>51</v>
      </c>
      <c r="C25" s="1">
        <v>-143.47369399999999</v>
      </c>
      <c r="D25" s="24"/>
      <c r="E25" s="24"/>
      <c r="F25" s="1">
        <f t="shared" si="6"/>
        <v>-143.47369399999999</v>
      </c>
      <c r="G25" s="7">
        <f>F25+F8+F6-3*F4-F11</f>
        <v>3.4327649186820963E-2</v>
      </c>
      <c r="H25" s="2">
        <f t="shared" si="7"/>
        <v>21.540925977397428</v>
      </c>
      <c r="I25" s="17">
        <f t="shared" ref="I25:I32" si="8">H25</f>
        <v>21.540925977397428</v>
      </c>
    </row>
    <row r="26" spans="1:10" ht="18" x14ac:dyDescent="0.4">
      <c r="A26" s="1" t="s">
        <v>52</v>
      </c>
      <c r="B26" s="9" t="s">
        <v>53</v>
      </c>
      <c r="C26" s="1">
        <v>-143.47330199999999</v>
      </c>
      <c r="D26" s="24"/>
      <c r="E26" s="24"/>
      <c r="F26" s="1">
        <f t="shared" si="6"/>
        <v>-143.47330199999999</v>
      </c>
      <c r="G26" s="7">
        <f>F26-(F25-G25)</f>
        <v>3.4719649186826018E-2</v>
      </c>
      <c r="H26" s="2">
        <f>627.5095*G26</f>
        <v>21.786909701400603</v>
      </c>
      <c r="I26" s="17">
        <f t="shared" si="8"/>
        <v>21.786909701400603</v>
      </c>
    </row>
    <row r="27" spans="1:10" ht="15.75" x14ac:dyDescent="0.4">
      <c r="A27" s="1" t="s">
        <v>54</v>
      </c>
      <c r="B27" s="9" t="s">
        <v>55</v>
      </c>
      <c r="C27" s="1">
        <v>-27.777504</v>
      </c>
      <c r="D27" s="24"/>
      <c r="E27" s="24"/>
      <c r="F27" s="1">
        <f t="shared" si="6"/>
        <v>-27.777504</v>
      </c>
      <c r="G27" s="7">
        <f>F27+F4-(F26-G26)</f>
        <v>2.2276651674445702E-2</v>
      </c>
      <c r="H27" s="2">
        <f t="shared" si="7"/>
        <v>13.978810553905586</v>
      </c>
      <c r="I27" s="17">
        <f t="shared" si="8"/>
        <v>13.978810553905586</v>
      </c>
    </row>
    <row r="28" spans="1:10" ht="18" x14ac:dyDescent="0.4">
      <c r="A28" s="1" t="s">
        <v>56</v>
      </c>
      <c r="B28" s="9" t="s">
        <v>57</v>
      </c>
      <c r="C28" s="1">
        <v>-143.475964</v>
      </c>
      <c r="D28" s="24"/>
      <c r="E28" s="24"/>
      <c r="F28" s="1">
        <f t="shared" si="6"/>
        <v>-143.475964</v>
      </c>
      <c r="G28" s="7">
        <f>F28-F4-(F27-G27)</f>
        <v>3.2057649186803872E-2</v>
      </c>
      <c r="H28" s="2">
        <f t="shared" si="7"/>
        <v>20.116479412386703</v>
      </c>
      <c r="I28" s="17">
        <f t="shared" si="8"/>
        <v>20.116479412386703</v>
      </c>
    </row>
    <row r="29" spans="1:10" ht="15.75" x14ac:dyDescent="0.4">
      <c r="A29" s="1" t="s">
        <v>58</v>
      </c>
      <c r="B29" s="9" t="s">
        <v>59</v>
      </c>
      <c r="C29" s="1">
        <v>-1.177343</v>
      </c>
      <c r="D29" s="24"/>
      <c r="E29" s="24"/>
      <c r="F29" s="1">
        <f t="shared" si="6"/>
        <v>-1.177343</v>
      </c>
      <c r="G29" s="7">
        <v>0</v>
      </c>
      <c r="H29" s="2">
        <f t="shared" si="7"/>
        <v>0</v>
      </c>
      <c r="I29" s="17">
        <f t="shared" si="8"/>
        <v>0</v>
      </c>
    </row>
    <row r="30" spans="1:10" ht="16.5" x14ac:dyDescent="0.4">
      <c r="A30" s="1" t="s">
        <v>60</v>
      </c>
      <c r="B30" s="9" t="s">
        <v>61</v>
      </c>
      <c r="C30" s="1">
        <v>-142.334079</v>
      </c>
      <c r="D30" s="24"/>
      <c r="E30" s="24"/>
      <c r="F30" s="1">
        <f t="shared" si="6"/>
        <v>-142.334079</v>
      </c>
      <c r="G30" s="7">
        <f>F30+F29-(F28-G28)</f>
        <v>-3.4003508131945637E-3</v>
      </c>
      <c r="H30" s="2">
        <f t="shared" si="7"/>
        <v>-2.1337524386123139</v>
      </c>
      <c r="I30" s="17">
        <f t="shared" si="8"/>
        <v>-2.1337524386123139</v>
      </c>
    </row>
    <row r="31" spans="1:10" ht="15.75" x14ac:dyDescent="0.4">
      <c r="A31" s="1" t="s">
        <v>62</v>
      </c>
      <c r="B31" s="9" t="s">
        <v>63</v>
      </c>
      <c r="C31" s="1">
        <v>-141.888319</v>
      </c>
      <c r="D31" s="24"/>
      <c r="E31" s="24"/>
      <c r="F31" s="1">
        <f t="shared" si="6"/>
        <v>-141.888319</v>
      </c>
      <c r="G31" s="7">
        <f>F31+F4-F6-(F30-G30)</f>
        <v>-8.2740049753908806E-3</v>
      </c>
      <c r="H31" s="2">
        <f t="shared" si="7"/>
        <v>-5.1920167251050442</v>
      </c>
      <c r="I31" s="17">
        <f t="shared" si="8"/>
        <v>-5.1920167251050442</v>
      </c>
    </row>
    <row r="32" spans="1:10" ht="15.75" x14ac:dyDescent="0.4">
      <c r="A32" s="1" t="s">
        <v>64</v>
      </c>
      <c r="B32" s="9" t="s">
        <v>65</v>
      </c>
      <c r="C32" s="1">
        <v>-766.96318799999995</v>
      </c>
      <c r="D32" s="24"/>
      <c r="E32" s="24"/>
      <c r="F32" s="1">
        <f t="shared" si="6"/>
        <v>-766.96318799999995</v>
      </c>
      <c r="G32" s="7">
        <f>F32+F4-F8-(F31-G31)</f>
        <v>-1.3973847445981846E-2</v>
      </c>
      <c r="H32" s="2">
        <f t="shared" si="7"/>
        <v>-8.7687220239043455</v>
      </c>
      <c r="I32" s="17">
        <f t="shared" si="8"/>
        <v>-8.7687220239043455</v>
      </c>
    </row>
    <row r="33" spans="1:10" s="37" customFormat="1" ht="14.25" x14ac:dyDescent="0.4">
      <c r="A33" s="33" t="s">
        <v>66</v>
      </c>
      <c r="B33" s="34"/>
      <c r="C33" s="33"/>
      <c r="D33" s="33"/>
      <c r="E33" s="33"/>
      <c r="F33" s="33"/>
      <c r="G33" s="35"/>
      <c r="H33" s="36"/>
      <c r="I33" s="36"/>
      <c r="J33" s="33"/>
    </row>
    <row r="34" spans="1:10" x14ac:dyDescent="0.4">
      <c r="A34" s="1" t="s">
        <v>67</v>
      </c>
      <c r="B34" s="9" t="s">
        <v>68</v>
      </c>
      <c r="C34" s="1">
        <v>-309.80505900000003</v>
      </c>
      <c r="D34" s="1">
        <v>0.2</v>
      </c>
      <c r="E34" s="1">
        <f>0.593*LN(D34/0.0409)/627.5095</f>
        <v>1.4999009114205816E-3</v>
      </c>
      <c r="F34" s="1">
        <f t="shared" ref="F34:F40" si="9">E34+C34</f>
        <v>-309.8035590990886</v>
      </c>
      <c r="G34" s="7">
        <v>0</v>
      </c>
      <c r="H34" s="2">
        <f>627.5095*G34</f>
        <v>0</v>
      </c>
      <c r="I34" s="14">
        <f>H34</f>
        <v>0</v>
      </c>
    </row>
    <row r="35" spans="1:10" s="11" customFormat="1" ht="18" x14ac:dyDescent="0.4">
      <c r="A35" s="18" t="s">
        <v>69</v>
      </c>
      <c r="B35" s="12" t="s">
        <v>70</v>
      </c>
      <c r="C35" s="11">
        <v>-452.10698300000001</v>
      </c>
      <c r="D35" s="24"/>
      <c r="E35" s="24"/>
      <c r="F35" s="11">
        <f t="shared" si="9"/>
        <v>-452.10698300000001</v>
      </c>
      <c r="G35" s="13">
        <f>F35-F34-(F30-G30)</f>
        <v>2.7254748275396423E-2</v>
      </c>
      <c r="H35" s="14">
        <f>627.5095*G35</f>
        <v>17.102613462919873</v>
      </c>
      <c r="I35" s="14">
        <f>H35-H$32</f>
        <v>25.871335486824218</v>
      </c>
    </row>
    <row r="36" spans="1:10" s="11" customFormat="1" ht="15.75" x14ac:dyDescent="0.4">
      <c r="A36" s="11" t="s">
        <v>71</v>
      </c>
      <c r="B36" s="12" t="s">
        <v>72</v>
      </c>
      <c r="C36" s="11">
        <v>-336.42334599999998</v>
      </c>
      <c r="D36" s="24"/>
      <c r="E36" s="24"/>
      <c r="F36" s="11">
        <f t="shared" si="9"/>
        <v>-336.42334599999998</v>
      </c>
      <c r="G36" s="13">
        <f>F36+F4-(F35-G35)</f>
        <v>2.6507507630526561E-3</v>
      </c>
      <c r="H36" s="14">
        <f>627.5095*G36</f>
        <v>1.6633712859477907</v>
      </c>
      <c r="I36" s="14">
        <f t="shared" ref="I36:I40" si="10">H36-H$32</f>
        <v>10.432093309852137</v>
      </c>
    </row>
    <row r="37" spans="1:10" s="11" customFormat="1" ht="18" x14ac:dyDescent="0.4">
      <c r="A37" s="11" t="s">
        <v>73</v>
      </c>
      <c r="B37" s="12" t="s">
        <v>74</v>
      </c>
      <c r="C37" s="11">
        <v>-336.39983599999999</v>
      </c>
      <c r="D37" s="24"/>
      <c r="E37" s="24"/>
      <c r="F37" s="11">
        <f t="shared" si="9"/>
        <v>-336.39983599999999</v>
      </c>
      <c r="G37" s="13">
        <f>F37-(F36-G36)</f>
        <v>2.6160750763040141E-2</v>
      </c>
      <c r="H37" s="14">
        <f>627.5095*G37</f>
        <v>16.416119630939939</v>
      </c>
      <c r="I37" s="14">
        <f t="shared" si="10"/>
        <v>25.184841654844284</v>
      </c>
    </row>
    <row r="38" spans="1:10" s="11" customFormat="1" ht="18" x14ac:dyDescent="0.4">
      <c r="A38" s="11" t="s">
        <v>75</v>
      </c>
      <c r="B38" s="12" t="s">
        <v>76</v>
      </c>
      <c r="C38" s="11">
        <v>-336.395534</v>
      </c>
      <c r="D38" s="24"/>
      <c r="E38" s="24"/>
      <c r="F38" s="11">
        <f t="shared" si="9"/>
        <v>-336.395534</v>
      </c>
      <c r="G38" s="13">
        <f>F38-(F36-G36)</f>
        <v>3.0462750763035729E-2</v>
      </c>
      <c r="H38" s="14">
        <f>627.5095*G38</f>
        <v>19.115665499937169</v>
      </c>
      <c r="I38" s="14">
        <f t="shared" si="10"/>
        <v>27.884387523841514</v>
      </c>
    </row>
    <row r="39" spans="1:10" s="11" customFormat="1" ht="16.5" x14ac:dyDescent="0.4">
      <c r="A39" s="11" t="s">
        <v>77</v>
      </c>
      <c r="B39" s="12" t="s">
        <v>78</v>
      </c>
      <c r="C39" s="11">
        <v>-336.459678</v>
      </c>
      <c r="D39" s="24"/>
      <c r="E39" s="24"/>
      <c r="F39" s="11">
        <f t="shared" si="9"/>
        <v>-336.459678</v>
      </c>
      <c r="G39" s="13">
        <f>F39-(F36-G36)</f>
        <v>-3.368124923696314E-2</v>
      </c>
      <c r="H39" s="14">
        <f t="shared" ref="H39:H40" si="11">627.5095*G39</f>
        <v>-21.13530386806212</v>
      </c>
      <c r="I39" s="14">
        <f t="shared" si="10"/>
        <v>-12.366581844157775</v>
      </c>
    </row>
    <row r="40" spans="1:10" s="11" customFormat="1" ht="15.75" x14ac:dyDescent="0.4">
      <c r="A40" s="11" t="s">
        <v>79</v>
      </c>
      <c r="B40" s="12" t="s">
        <v>80</v>
      </c>
      <c r="C40" s="11">
        <v>-141.18083100000001</v>
      </c>
      <c r="D40" s="24"/>
      <c r="E40" s="24"/>
      <c r="F40" s="11">
        <f t="shared" si="9"/>
        <v>-141.18083100000001</v>
      </c>
      <c r="G40" s="13">
        <f>F40+F60-(F39-G39)-F4</f>
        <v>-3.7758251724639535E-2</v>
      </c>
      <c r="H40" s="14">
        <f t="shared" si="11"/>
        <v>-23.693661660602693</v>
      </c>
      <c r="I40" s="14">
        <f t="shared" si="10"/>
        <v>-14.924939636698348</v>
      </c>
    </row>
    <row r="41" spans="1:10" s="37" customFormat="1" ht="14.25" x14ac:dyDescent="0.4">
      <c r="A41" s="33" t="s">
        <v>81</v>
      </c>
      <c r="B41" s="34"/>
      <c r="C41" s="38"/>
      <c r="D41" s="38"/>
      <c r="E41" s="38"/>
      <c r="F41" s="38"/>
      <c r="G41" s="39"/>
      <c r="H41" s="40"/>
      <c r="I41" s="40"/>
      <c r="J41" s="38"/>
    </row>
    <row r="42" spans="1:10" s="11" customFormat="1" ht="16.5" x14ac:dyDescent="0.4">
      <c r="A42" s="11" t="s">
        <v>82</v>
      </c>
      <c r="B42" s="12" t="s">
        <v>83</v>
      </c>
      <c r="C42" s="11">
        <v>-258.01389599999999</v>
      </c>
      <c r="D42" s="24"/>
      <c r="E42" s="24"/>
      <c r="F42" s="11">
        <f>E42+C42</f>
        <v>-258.01389599999999</v>
      </c>
      <c r="G42" s="13">
        <f>F42-(F31-G31)-(F5-G5)</f>
        <v>2.5023646699153801E-2</v>
      </c>
      <c r="H42" s="14">
        <f>627.5095*G42</f>
        <v>15.702576028362651</v>
      </c>
      <c r="I42" s="14">
        <f>H42-H$32</f>
        <v>24.471298052266995</v>
      </c>
    </row>
    <row r="43" spans="1:10" s="11" customFormat="1" ht="18" x14ac:dyDescent="0.4">
      <c r="A43" s="11" t="s">
        <v>84</v>
      </c>
      <c r="B43" s="12" t="s">
        <v>85</v>
      </c>
      <c r="C43" s="11">
        <v>-258.01627200000001</v>
      </c>
      <c r="D43" s="24"/>
      <c r="E43" s="24"/>
      <c r="F43" s="11">
        <f>E43+C43</f>
        <v>-258.01627200000001</v>
      </c>
      <c r="G43" s="13">
        <f>F43-(F31-G31)-(F5-G5)</f>
        <v>2.2647646699127222E-2</v>
      </c>
      <c r="H43" s="14">
        <f>627.5095*G43</f>
        <v>14.211613456345974</v>
      </c>
      <c r="I43" s="14">
        <f>H43-H$32</f>
        <v>22.980335480250318</v>
      </c>
    </row>
    <row r="44" spans="1:10" s="11" customFormat="1" ht="16.5" x14ac:dyDescent="0.4">
      <c r="A44" s="11" t="s">
        <v>86</v>
      </c>
      <c r="B44" s="12" t="s">
        <v>87</v>
      </c>
      <c r="C44" s="11">
        <v>-256.88747000000001</v>
      </c>
      <c r="D44" s="24"/>
      <c r="E44" s="24"/>
      <c r="F44" s="11">
        <f>E44+C44</f>
        <v>-256.88747000000001</v>
      </c>
      <c r="G44" s="13">
        <f>F44+F29-(F43-G43)</f>
        <v>-2.5893353300887156E-2</v>
      </c>
      <c r="H44" s="14">
        <f>627.5095*G44</f>
        <v>-16.24832518316305</v>
      </c>
      <c r="I44" s="14">
        <f>H44-H$32</f>
        <v>-7.4796031592587049</v>
      </c>
    </row>
    <row r="45" spans="1:10" s="11" customFormat="1" ht="15.75" x14ac:dyDescent="0.4">
      <c r="A45" s="11" t="s">
        <v>88</v>
      </c>
      <c r="B45" s="12" t="s">
        <v>89</v>
      </c>
      <c r="C45" s="11">
        <v>-256.44196699999998</v>
      </c>
      <c r="D45" s="24"/>
      <c r="E45" s="24"/>
      <c r="F45" s="11">
        <f>E45+C45</f>
        <v>-256.44196699999998</v>
      </c>
      <c r="G45" s="13">
        <f>F45+F4-F6-(F44-G44)</f>
        <v>-3.1024007463031467E-2</v>
      </c>
      <c r="H45" s="14">
        <f>627.5095*G45</f>
        <v>-19.467859411123143</v>
      </c>
      <c r="I45" s="14">
        <f>H45-H$32</f>
        <v>-10.699137387218798</v>
      </c>
    </row>
    <row r="46" spans="1:10" s="11" customFormat="1" ht="15.75" x14ac:dyDescent="0.4">
      <c r="A46" s="11" t="s">
        <v>90</v>
      </c>
      <c r="B46" s="12" t="s">
        <v>91</v>
      </c>
      <c r="C46" s="11">
        <v>-881.52305999999999</v>
      </c>
      <c r="D46" s="24"/>
      <c r="E46" s="24"/>
      <c r="F46" s="11">
        <f>E46+C46</f>
        <v>-881.52305999999999</v>
      </c>
      <c r="G46" s="13">
        <f>F46+F4-(F45-G45)-F8</f>
        <v>-4.2947849933625548E-2</v>
      </c>
      <c r="H46" s="14">
        <f>627.5095*G46</f>
        <v>-26.950183837924403</v>
      </c>
      <c r="I46" s="14">
        <f>H46-H$32</f>
        <v>-18.181461814020057</v>
      </c>
    </row>
    <row r="47" spans="1:10" s="29" customFormat="1" ht="14.25" x14ac:dyDescent="0.4">
      <c r="A47" s="25" t="s">
        <v>92</v>
      </c>
      <c r="B47" s="26"/>
      <c r="C47" s="25"/>
      <c r="D47" s="25"/>
      <c r="E47" s="25"/>
      <c r="F47" s="25"/>
      <c r="G47" s="27"/>
      <c r="H47" s="28"/>
      <c r="I47" s="28"/>
      <c r="J47" s="25"/>
    </row>
    <row r="48" spans="1:10" ht="15.75" x14ac:dyDescent="0.4">
      <c r="A48" s="15" t="s">
        <v>93</v>
      </c>
      <c r="B48" s="9" t="s">
        <v>94</v>
      </c>
      <c r="C48" s="1">
        <v>-961.05424800000003</v>
      </c>
      <c r="D48" s="24"/>
      <c r="E48" s="24"/>
      <c r="F48" s="1">
        <f t="shared" ref="F48:F53" si="12">E48+C48</f>
        <v>-961.05424800000003</v>
      </c>
      <c r="G48" s="7">
        <f>F48-(F32-G32)-F34+F4</f>
        <v>-9.7157458698262644E-3</v>
      </c>
      <c r="H48" s="2">
        <f t="shared" ref="H48:H54" si="13">627.5095*G48</f>
        <v>-6.0967228329017447</v>
      </c>
      <c r="I48" s="2">
        <f>H48-H$32</f>
        <v>2.6719991910026009</v>
      </c>
    </row>
    <row r="49" spans="1:10" ht="18" x14ac:dyDescent="0.4">
      <c r="A49" s="15" t="s">
        <v>95</v>
      </c>
      <c r="B49" s="9" t="s">
        <v>96</v>
      </c>
      <c r="C49" s="1">
        <v>-961.03651100000002</v>
      </c>
      <c r="D49" s="24"/>
      <c r="E49" s="24"/>
      <c r="F49" s="1">
        <f t="shared" si="12"/>
        <v>-961.03651100000002</v>
      </c>
      <c r="G49" s="7">
        <f>F49-(F32-G32)-F34+F4</f>
        <v>8.0212541301847295E-3</v>
      </c>
      <c r="H49" s="2">
        <f t="shared" si="13"/>
        <v>5.0334131686051542</v>
      </c>
      <c r="I49" s="2">
        <f>H49-H$32</f>
        <v>13.8021351925095</v>
      </c>
      <c r="J49" s="2" t="s">
        <v>97</v>
      </c>
    </row>
    <row r="50" spans="1:10" ht="18" x14ac:dyDescent="0.4">
      <c r="A50" s="15" t="s">
        <v>98</v>
      </c>
      <c r="B50" s="9" t="s">
        <v>99</v>
      </c>
      <c r="C50" s="1">
        <v>-961.03322900000001</v>
      </c>
      <c r="D50" s="24"/>
      <c r="E50" s="24"/>
      <c r="F50" s="1">
        <f t="shared" si="12"/>
        <v>-961.03322900000001</v>
      </c>
      <c r="G50" s="7">
        <f>F50-(F32-G32)-F34+F4</f>
        <v>1.1303254130197615E-2</v>
      </c>
      <c r="H50" s="2">
        <f t="shared" si="13"/>
        <v>7.0928993476132405</v>
      </c>
      <c r="I50" s="2">
        <f>H50-H$32</f>
        <v>15.861621371517586</v>
      </c>
      <c r="J50" s="11"/>
    </row>
    <row r="51" spans="1:10" s="15" customFormat="1" ht="15.75" x14ac:dyDescent="0.4">
      <c r="A51" s="15" t="s">
        <v>100</v>
      </c>
      <c r="B51" s="53" t="s">
        <v>101</v>
      </c>
      <c r="C51" s="15">
        <v>-576.49703199999999</v>
      </c>
      <c r="D51" s="15">
        <v>0.2</v>
      </c>
      <c r="E51" s="15">
        <f>0.593*LN(D51/0.0409)/627.5095</f>
        <v>1.4999009114205816E-3</v>
      </c>
      <c r="F51" s="15">
        <f>E51+C51</f>
        <v>-576.49553209908856</v>
      </c>
      <c r="G51" s="16">
        <v>0</v>
      </c>
      <c r="H51" s="17">
        <f t="shared" si="13"/>
        <v>0</v>
      </c>
      <c r="I51" s="17">
        <f>H51</f>
        <v>0</v>
      </c>
    </row>
    <row r="52" spans="1:10" s="15" customFormat="1" ht="18" x14ac:dyDescent="0.4">
      <c r="A52" s="15" t="s">
        <v>102</v>
      </c>
      <c r="B52" s="53" t="s">
        <v>103</v>
      </c>
      <c r="C52" s="15">
        <v>-1227.7268859999999</v>
      </c>
      <c r="D52" s="54"/>
      <c r="E52" s="54"/>
      <c r="F52" s="15">
        <f>E52+C52</f>
        <v>-1227.7268859999999</v>
      </c>
      <c r="G52" s="16">
        <f>F52-(F32-G32)-F51+F4</f>
        <v>9.6192541302428936E-3</v>
      </c>
      <c r="H52" s="17">
        <f t="shared" si="13"/>
        <v>6.0361733496416532</v>
      </c>
      <c r="I52" s="17">
        <f>H52-H$32</f>
        <v>14.804895373546</v>
      </c>
    </row>
    <row r="53" spans="1:10" s="20" customFormat="1" x14ac:dyDescent="0.4">
      <c r="A53" s="20" t="s">
        <v>104</v>
      </c>
      <c r="B53" s="21" t="s">
        <v>105</v>
      </c>
      <c r="C53" s="20">
        <v>-384.81153899999998</v>
      </c>
      <c r="D53" s="20">
        <v>0.2</v>
      </c>
      <c r="E53" s="20">
        <f>0.593*LN(D53/0.0409)/627.5095</f>
        <v>1.4999009114205816E-3</v>
      </c>
      <c r="F53" s="20">
        <f t="shared" si="12"/>
        <v>-384.81003909908856</v>
      </c>
      <c r="G53" s="22">
        <v>0</v>
      </c>
      <c r="H53" s="23">
        <f t="shared" si="13"/>
        <v>0</v>
      </c>
      <c r="I53" s="23">
        <f>H53</f>
        <v>0</v>
      </c>
    </row>
    <row r="54" spans="1:10" s="20" customFormat="1" ht="18" x14ac:dyDescent="0.4">
      <c r="A54" s="20" t="s">
        <v>106</v>
      </c>
      <c r="B54" s="21" t="s">
        <v>107</v>
      </c>
      <c r="C54" s="20">
        <v>-1036.040422</v>
      </c>
      <c r="D54" s="51"/>
      <c r="E54" s="51"/>
      <c r="F54" s="20">
        <f>E54+C54</f>
        <v>-1036.040422</v>
      </c>
      <c r="G54" s="22">
        <f>F54-(F32-G32)-F53+F4</f>
        <v>1.0590254130121934E-2</v>
      </c>
      <c r="H54" s="23">
        <f t="shared" si="13"/>
        <v>6.6454850740657498</v>
      </c>
      <c r="I54" s="23">
        <f>H54-H$32</f>
        <v>15.414207097970095</v>
      </c>
    </row>
    <row r="55" spans="1:10" s="20" customFormat="1" ht="15.75" x14ac:dyDescent="0.4">
      <c r="A55" s="20" t="s">
        <v>108</v>
      </c>
      <c r="B55" s="21" t="s">
        <v>109</v>
      </c>
      <c r="C55" s="20">
        <v>-589.33382200000005</v>
      </c>
      <c r="D55" s="20">
        <v>0.2</v>
      </c>
      <c r="E55" s="20">
        <f>0.593*LN(D55/0.0409)/627.5095</f>
        <v>1.4999009114205816E-3</v>
      </c>
      <c r="F55" s="20">
        <f t="shared" ref="F55:F57" si="14">E55+C55</f>
        <v>-589.33232209908863</v>
      </c>
      <c r="G55" s="22">
        <v>0</v>
      </c>
      <c r="H55" s="23">
        <f t="shared" ref="H55:H57" si="15">627.5095*G55</f>
        <v>0</v>
      </c>
      <c r="I55" s="23">
        <f>H55</f>
        <v>0</v>
      </c>
    </row>
    <row r="56" spans="1:10" s="20" customFormat="1" ht="18" x14ac:dyDescent="0.4">
      <c r="A56" s="20" t="s">
        <v>110</v>
      </c>
      <c r="B56" s="21" t="s">
        <v>111</v>
      </c>
      <c r="C56" s="20">
        <v>-1240.5646710000001</v>
      </c>
      <c r="D56" s="51"/>
      <c r="E56" s="51"/>
      <c r="F56" s="20">
        <f t="shared" si="14"/>
        <v>-1240.5646710000001</v>
      </c>
      <c r="G56" s="22">
        <f>F56-(F32-G32)-F55+F4</f>
        <v>8.6242541301402298E-3</v>
      </c>
      <c r="H56" s="23">
        <f t="shared" si="15"/>
        <v>5.4118013970772303</v>
      </c>
      <c r="I56" s="23">
        <f>H56-H$32</f>
        <v>14.180523420981576</v>
      </c>
    </row>
    <row r="57" spans="1:10" s="20" customFormat="1" x14ac:dyDescent="0.4">
      <c r="A57" s="20" t="s">
        <v>112</v>
      </c>
      <c r="B57" s="21" t="s">
        <v>113</v>
      </c>
      <c r="C57" s="20">
        <v>-499.32042300000001</v>
      </c>
      <c r="D57" s="20">
        <v>0.2</v>
      </c>
      <c r="E57" s="20">
        <f>0.593*LN(D57/0.0409)/627.5095</f>
        <v>1.4999009114205816E-3</v>
      </c>
      <c r="F57" s="20">
        <f t="shared" si="14"/>
        <v>-499.31892309908858</v>
      </c>
      <c r="G57" s="22">
        <v>0</v>
      </c>
      <c r="H57" s="23">
        <f t="shared" si="15"/>
        <v>0</v>
      </c>
      <c r="I57" s="23">
        <f>H57</f>
        <v>0</v>
      </c>
    </row>
    <row r="58" spans="1:10" s="20" customFormat="1" ht="18" x14ac:dyDescent="0.4">
      <c r="A58" s="52" t="s">
        <v>114</v>
      </c>
      <c r="B58" s="21" t="s">
        <v>115</v>
      </c>
      <c r="C58" s="20">
        <v>-1150.544482</v>
      </c>
      <c r="D58" s="51"/>
      <c r="E58" s="51"/>
      <c r="F58" s="20">
        <f t="shared" ref="F58:F60" si="16">E58+C58</f>
        <v>-1150.544482</v>
      </c>
      <c r="G58" s="22">
        <f>F58-(F32-G32)-F57+F4</f>
        <v>1.541425413016384E-2</v>
      </c>
      <c r="H58" s="23">
        <f>627.5095*G58</f>
        <v>9.6725909020920469</v>
      </c>
      <c r="I58" s="23">
        <f>H58-H$32</f>
        <v>18.441312925996392</v>
      </c>
    </row>
    <row r="59" spans="1:10" ht="15.75" x14ac:dyDescent="0.4">
      <c r="A59" s="15" t="s">
        <v>116</v>
      </c>
      <c r="B59" s="9" t="s">
        <v>117</v>
      </c>
      <c r="C59" s="1">
        <v>-961.05163900000002</v>
      </c>
      <c r="D59" s="24"/>
      <c r="E59" s="24"/>
      <c r="F59" s="1">
        <f t="shared" si="16"/>
        <v>-961.05163900000002</v>
      </c>
      <c r="G59" s="7">
        <f>F59-(F32-G32)-F34+F4</f>
        <v>-7.1067458698195196E-3</v>
      </c>
      <c r="H59" s="2">
        <f t="shared" ref="H59:H64" si="17">627.5095*G59</f>
        <v>-4.4595505473975114</v>
      </c>
      <c r="I59" s="2">
        <f>H59-H$32</f>
        <v>4.3091714765068341</v>
      </c>
      <c r="J59" s="11"/>
    </row>
    <row r="60" spans="1:10" x14ac:dyDescent="0.4">
      <c r="A60" s="49" t="s">
        <v>118</v>
      </c>
      <c r="B60" s="9" t="s">
        <v>119</v>
      </c>
      <c r="C60" s="1">
        <v>-310.99116500000002</v>
      </c>
      <c r="D60" s="24"/>
      <c r="E60" s="24"/>
      <c r="F60" s="1">
        <f t="shared" si="16"/>
        <v>-310.99116500000002</v>
      </c>
      <c r="G60" s="7">
        <v>0</v>
      </c>
      <c r="H60" s="2">
        <f t="shared" si="17"/>
        <v>0</v>
      </c>
      <c r="I60" s="2">
        <f>H60</f>
        <v>0</v>
      </c>
    </row>
    <row r="61" spans="1:10" ht="16.5" customHeight="1" x14ac:dyDescent="0.4">
      <c r="A61" s="49" t="s">
        <v>120</v>
      </c>
      <c r="B61" s="24"/>
      <c r="C61" s="24"/>
      <c r="D61" s="24"/>
      <c r="E61" s="24"/>
      <c r="F61" s="1">
        <f>F40</f>
        <v>-141.18083100000001</v>
      </c>
      <c r="G61" s="7">
        <f>F61+F8+F6+F60-4*F4-(F32-G32)-F34+2*F4</f>
        <v>-3.7758251724682168E-2</v>
      </c>
      <c r="H61" s="2">
        <f t="shared" si="17"/>
        <v>-23.693661660629445</v>
      </c>
      <c r="I61" s="2">
        <f>H61-H$32</f>
        <v>-14.924939636725099</v>
      </c>
    </row>
    <row r="62" spans="1:10" ht="16.5" x14ac:dyDescent="0.4">
      <c r="A62" s="49" t="s">
        <v>121</v>
      </c>
      <c r="B62" s="24"/>
      <c r="C62" s="24"/>
      <c r="D62" s="24"/>
      <c r="E62" s="24"/>
      <c r="F62" s="1">
        <f>F44</f>
        <v>-256.88747000000001</v>
      </c>
      <c r="G62" s="7">
        <f>F62+F8+F6+F60-4*F4-(F32-G32)-F34+F4</f>
        <v>-3.6156254212315275E-2</v>
      </c>
      <c r="H62" s="2">
        <f t="shared" si="17"/>
        <v>-22.688393002642851</v>
      </c>
      <c r="I62" s="2">
        <f>H62-H$32</f>
        <v>-13.919670978738505</v>
      </c>
    </row>
    <row r="63" spans="1:10" ht="15.75" x14ac:dyDescent="0.4">
      <c r="A63" s="49" t="s">
        <v>122</v>
      </c>
      <c r="B63" s="24"/>
      <c r="C63" s="24"/>
      <c r="D63" s="24"/>
      <c r="E63" s="24"/>
      <c r="F63" s="1">
        <f>F45</f>
        <v>-256.44196699999998</v>
      </c>
      <c r="G63" s="7">
        <f>F63+F8+F60-3*F4-(F32-G32)-F34+F4</f>
        <v>-4.1286908374573272E-2</v>
      </c>
      <c r="H63" s="2">
        <f t="shared" si="17"/>
        <v>-25.907927230674286</v>
      </c>
      <c r="I63" s="2">
        <f>H63-H$32</f>
        <v>-17.13920520676994</v>
      </c>
    </row>
    <row r="64" spans="1:10" ht="16.5" customHeight="1" x14ac:dyDescent="0.4">
      <c r="A64" s="50" t="s">
        <v>123</v>
      </c>
      <c r="B64" s="24"/>
      <c r="C64" s="24"/>
      <c r="D64" s="24"/>
      <c r="E64" s="24"/>
      <c r="F64" s="1">
        <f>F46</f>
        <v>-881.52305999999999</v>
      </c>
      <c r="G64" s="7">
        <f>F64+F60-(F32-G32)-F34-F4</f>
        <v>-5.3210750844968402E-2</v>
      </c>
      <c r="H64" s="2">
        <f t="shared" si="17"/>
        <v>-33.390251657350703</v>
      </c>
      <c r="I64" s="2">
        <f>H64-H$32</f>
        <v>-24.621529633446357</v>
      </c>
    </row>
    <row r="65" spans="1:10" s="37" customFormat="1" ht="14.25" x14ac:dyDescent="0.4">
      <c r="A65" s="33" t="s">
        <v>124</v>
      </c>
      <c r="B65" s="34"/>
      <c r="C65" s="33"/>
      <c r="D65" s="33"/>
      <c r="E65" s="33"/>
      <c r="F65" s="33"/>
      <c r="G65" s="35"/>
      <c r="H65" s="36"/>
      <c r="I65" s="36"/>
      <c r="J65" s="33"/>
    </row>
    <row r="66" spans="1:10" s="11" customFormat="1" ht="18" x14ac:dyDescent="0.4">
      <c r="A66" s="18" t="s">
        <v>125</v>
      </c>
      <c r="B66" s="12" t="s">
        <v>126</v>
      </c>
      <c r="C66" s="11">
        <v>-566.67889500000001</v>
      </c>
      <c r="D66" s="24"/>
      <c r="E66" s="24"/>
      <c r="F66" s="11">
        <f t="shared" ref="F66:F71" si="18">E66+C66</f>
        <v>-566.67889500000001</v>
      </c>
      <c r="G66" s="13">
        <f>F66-(F62-G62)-F34</f>
        <v>-2.402215512370276E-2</v>
      </c>
      <c r="H66" s="14">
        <f t="shared" ref="H66:H71" si="19">627.5095*G66</f>
        <v>-15.074130550597157</v>
      </c>
      <c r="I66" s="14">
        <f>H66-H$46</f>
        <v>11.876053287327245</v>
      </c>
    </row>
    <row r="67" spans="1:10" s="11" customFormat="1" ht="16.5" x14ac:dyDescent="0.4">
      <c r="A67" s="11" t="s">
        <v>127</v>
      </c>
      <c r="B67" s="12" t="s">
        <v>128</v>
      </c>
      <c r="C67" s="11">
        <v>-450.97387300000003</v>
      </c>
      <c r="D67" s="24"/>
      <c r="E67" s="24"/>
      <c r="F67" s="11">
        <f t="shared" si="18"/>
        <v>-450.97387300000003</v>
      </c>
      <c r="G67" s="13">
        <f>F67+F4-(F66-G66)</f>
        <v>-2.7241152636065635E-2</v>
      </c>
      <c r="H67" s="14">
        <f t="shared" si="19"/>
        <v>-17.094082070081228</v>
      </c>
      <c r="I67" s="14">
        <f t="shared" ref="I67:I71" si="20">H67-H$46</f>
        <v>9.8561017678431746</v>
      </c>
    </row>
    <row r="68" spans="1:10" s="11" customFormat="1" ht="18" x14ac:dyDescent="0.4">
      <c r="A68" s="11" t="s">
        <v>129</v>
      </c>
      <c r="B68" s="12" t="s">
        <v>130</v>
      </c>
      <c r="C68" s="11">
        <v>-450.95303699999999</v>
      </c>
      <c r="D68" s="24"/>
      <c r="E68" s="24"/>
      <c r="F68" s="11">
        <f t="shared" si="18"/>
        <v>-450.95303699999999</v>
      </c>
      <c r="G68" s="13">
        <f>F68-(F67-G67)</f>
        <v>-6.4051526360344724E-3</v>
      </c>
      <c r="H68" s="14">
        <f t="shared" si="19"/>
        <v>-4.0192941280616736</v>
      </c>
      <c r="I68" s="14">
        <f t="shared" si="20"/>
        <v>22.930889709862729</v>
      </c>
    </row>
    <row r="69" spans="1:10" s="11" customFormat="1" ht="18" x14ac:dyDescent="0.4">
      <c r="A69" s="11" t="s">
        <v>131</v>
      </c>
      <c r="B69" s="12" t="s">
        <v>132</v>
      </c>
      <c r="C69" s="11">
        <v>-450.94845600000002</v>
      </c>
      <c r="D69" s="24"/>
      <c r="E69" s="24"/>
      <c r="F69" s="11">
        <f t="shared" si="18"/>
        <v>-450.94845600000002</v>
      </c>
      <c r="G69" s="13">
        <f>F69-(F67-G67)</f>
        <v>-1.8241526360611715E-3</v>
      </c>
      <c r="H69" s="14">
        <f t="shared" si="19"/>
        <v>-1.1446731085784276</v>
      </c>
      <c r="I69" s="14">
        <f t="shared" si="20"/>
        <v>25.805510729345976</v>
      </c>
    </row>
    <row r="70" spans="1:10" s="11" customFormat="1" ht="16.5" x14ac:dyDescent="0.4">
      <c r="A70" s="11" t="s">
        <v>133</v>
      </c>
      <c r="B70" s="12" t="s">
        <v>134</v>
      </c>
      <c r="C70" s="11">
        <v>-451.03117200000003</v>
      </c>
      <c r="D70" s="24"/>
      <c r="E70" s="24"/>
      <c r="F70" s="11">
        <f t="shared" si="18"/>
        <v>-451.03117200000003</v>
      </c>
      <c r="G70" s="13">
        <f>F70-(F67-G67)</f>
        <v>-8.4540152636066068E-2</v>
      </c>
      <c r="H70" s="14">
        <f t="shared" si="19"/>
        <v>-53.049748910581499</v>
      </c>
      <c r="I70" s="14">
        <f t="shared" si="20"/>
        <v>-26.099565072657096</v>
      </c>
    </row>
    <row r="71" spans="1:10" s="11" customFormat="1" ht="15.75" x14ac:dyDescent="0.4">
      <c r="A71" s="11" t="s">
        <v>135</v>
      </c>
      <c r="B71" s="12" t="s">
        <v>136</v>
      </c>
      <c r="C71" s="11">
        <v>-255.75693000000001</v>
      </c>
      <c r="D71" s="24"/>
      <c r="E71" s="24"/>
      <c r="F71" s="11">
        <f t="shared" si="18"/>
        <v>-255.75693000000001</v>
      </c>
      <c r="G71" s="13">
        <f>F71+F60-(F70-G70)-F4</f>
        <v>-9.3222155123712014E-2</v>
      </c>
      <c r="H71" s="14">
        <f t="shared" si="19"/>
        <v>-58.497787950602962</v>
      </c>
      <c r="I71" s="14">
        <f t="shared" si="20"/>
        <v>-31.54760411267856</v>
      </c>
    </row>
    <row r="72" spans="1:10" s="37" customFormat="1" ht="14.25" x14ac:dyDescent="0.4">
      <c r="A72" s="33" t="s">
        <v>137</v>
      </c>
      <c r="B72" s="34"/>
      <c r="C72" s="38"/>
      <c r="D72" s="38"/>
      <c r="E72" s="38"/>
      <c r="F72" s="38"/>
      <c r="G72" s="39"/>
      <c r="H72" s="40"/>
      <c r="I72" s="40"/>
      <c r="J72" s="38"/>
    </row>
    <row r="73" spans="1:10" s="11" customFormat="1" ht="16.5" x14ac:dyDescent="0.4">
      <c r="A73" s="11" t="s">
        <v>138</v>
      </c>
      <c r="B73" s="12" t="s">
        <v>139</v>
      </c>
      <c r="C73" s="11">
        <v>-372.56757599999997</v>
      </c>
      <c r="D73" s="24"/>
      <c r="E73" s="24"/>
      <c r="F73" s="11">
        <f>E73+C73</f>
        <v>-372.56757599999997</v>
      </c>
      <c r="G73" s="13">
        <f>F73-(F45-G45)-(F5-G5)</f>
        <v>2.241644211508742E-3</v>
      </c>
      <c r="H73" s="14">
        <f>627.5095*G73</f>
        <v>1.406653038341745</v>
      </c>
      <c r="I73" s="14">
        <f>H73-H$46</f>
        <v>28.356836876266147</v>
      </c>
    </row>
    <row r="74" spans="1:10" s="11" customFormat="1" ht="16.5" x14ac:dyDescent="0.4">
      <c r="A74" s="11" t="s">
        <v>140</v>
      </c>
      <c r="B74" s="12" t="s">
        <v>141</v>
      </c>
      <c r="C74" s="11">
        <v>-372.57077800000002</v>
      </c>
      <c r="D74" s="24"/>
      <c r="E74" s="24"/>
      <c r="F74" s="11">
        <f>E74+C74</f>
        <v>-372.57077800000002</v>
      </c>
      <c r="G74" s="13">
        <f>F74-(F45-G45)-(F5-G5)</f>
        <v>-9.60355788535594E-4</v>
      </c>
      <c r="H74" s="14">
        <f>627.5095*G74</f>
        <v>-0.60263238068607627</v>
      </c>
      <c r="I74" s="14">
        <f>H74-H$46</f>
        <v>26.347551457238325</v>
      </c>
    </row>
    <row r="75" spans="1:10" s="11" customFormat="1" ht="16.5" x14ac:dyDescent="0.4">
      <c r="A75" s="11" t="s">
        <v>142</v>
      </c>
      <c r="B75" s="12" t="s">
        <v>143</v>
      </c>
      <c r="C75" s="11">
        <v>-371.44472999999999</v>
      </c>
      <c r="D75" s="24"/>
      <c r="E75" s="24"/>
      <c r="F75" s="11">
        <f>E75+C75</f>
        <v>-371.44472999999999</v>
      </c>
      <c r="G75" s="13">
        <f>F75+F29-(F74-G74)</f>
        <v>-5.2255355788531688E-2</v>
      </c>
      <c r="H75" s="14">
        <f>627.5095*G75</f>
        <v>-32.790732183183628</v>
      </c>
      <c r="I75" s="14">
        <f>H75-H$46</f>
        <v>-5.8405483452592257</v>
      </c>
    </row>
    <row r="76" spans="1:10" s="11" customFormat="1" ht="15.75" x14ac:dyDescent="0.4">
      <c r="A76" s="11" t="s">
        <v>144</v>
      </c>
      <c r="B76" s="12" t="s">
        <v>145</v>
      </c>
      <c r="C76" s="11">
        <v>-371.00416300000001</v>
      </c>
      <c r="D76" s="24"/>
      <c r="E76" s="24"/>
      <c r="F76" s="11">
        <f>E76+C76</f>
        <v>-371.00416300000001</v>
      </c>
      <c r="G76" s="13">
        <f>F76+F4-F6-(F75-G75)</f>
        <v>-6.2322009950719348E-2</v>
      </c>
      <c r="H76" s="14">
        <f>627.5095*G76</f>
        <v>-39.10765330317092</v>
      </c>
      <c r="I76" s="14">
        <f>H76-H$46</f>
        <v>-12.157469465246518</v>
      </c>
    </row>
    <row r="77" spans="1:10" s="11" customFormat="1" ht="15.75" x14ac:dyDescent="0.4">
      <c r="A77" s="11" t="s">
        <v>146</v>
      </c>
      <c r="B77" s="12" t="s">
        <v>147</v>
      </c>
      <c r="C77" s="11">
        <v>-996.086996</v>
      </c>
      <c r="D77" s="24"/>
      <c r="E77" s="24"/>
      <c r="F77" s="11">
        <f>E77+C77</f>
        <v>-996.086996</v>
      </c>
      <c r="G77" s="13">
        <f>F77+F4-(F76-G76)-F8</f>
        <v>-7.5985852421354139E-2</v>
      </c>
      <c r="H77" s="14">
        <f>627.5095*G77</f>
        <v>-47.681844259997725</v>
      </c>
      <c r="I77" s="14">
        <f>H77-H$46</f>
        <v>-20.731660422073322</v>
      </c>
    </row>
    <row r="78" spans="1:10" s="29" customFormat="1" ht="14.25" x14ac:dyDescent="0.4">
      <c r="A78" s="25" t="s">
        <v>148</v>
      </c>
      <c r="B78" s="26"/>
      <c r="C78" s="25"/>
      <c r="D78" s="25"/>
      <c r="E78" s="25"/>
      <c r="F78" s="25"/>
      <c r="G78" s="27"/>
      <c r="H78" s="28"/>
      <c r="I78" s="28"/>
      <c r="J78" s="25"/>
    </row>
    <row r="79" spans="1:10" ht="15.75" x14ac:dyDescent="0.4">
      <c r="A79" s="15" t="s">
        <v>149</v>
      </c>
      <c r="B79" s="9" t="s">
        <v>150</v>
      </c>
      <c r="C79" s="1">
        <v>-1075.6142010000001</v>
      </c>
      <c r="D79" s="24"/>
      <c r="E79" s="24"/>
      <c r="F79" s="1">
        <f t="shared" ref="F79:F85" si="21">E79+C79</f>
        <v>-1075.6142010000001</v>
      </c>
      <c r="G79" s="7">
        <f>F79+F4-F34-(F46-G64)</f>
        <v>-4.9033649268835688E-2</v>
      </c>
      <c r="H79" s="2">
        <f>627.5095*G79</f>
        <v>-30.769080735862449</v>
      </c>
      <c r="I79" s="2">
        <f t="shared" ref="I79:I90" si="22">H79-H$64</f>
        <v>2.6211709214882539</v>
      </c>
    </row>
    <row r="80" spans="1:10" ht="15.75" x14ac:dyDescent="0.4">
      <c r="A80" s="1" t="s">
        <v>151</v>
      </c>
      <c r="B80" s="9" t="s">
        <v>152</v>
      </c>
      <c r="C80" s="1">
        <v>-1075.5939040000001</v>
      </c>
      <c r="D80" s="24"/>
      <c r="E80" s="24"/>
      <c r="F80" s="1">
        <f t="shared" si="21"/>
        <v>-1075.5939040000001</v>
      </c>
      <c r="G80" s="7">
        <f>F80+F4-F34-(F46-G64)</f>
        <v>-2.8736649268807923E-2</v>
      </c>
      <c r="H80" s="2">
        <f>627.5095*G80</f>
        <v>-18.032520414345026</v>
      </c>
      <c r="I80" s="2">
        <f>H80-H$64</f>
        <v>15.357731243005677</v>
      </c>
      <c r="J80" s="2" t="s">
        <v>153</v>
      </c>
    </row>
    <row r="81" spans="1:10" ht="15.75" x14ac:dyDescent="0.4">
      <c r="A81" s="1" t="s">
        <v>154</v>
      </c>
      <c r="B81" s="9" t="s">
        <v>155</v>
      </c>
      <c r="C81" s="1">
        <v>-1075.5907400000001</v>
      </c>
      <c r="D81" s="24"/>
      <c r="E81" s="24"/>
      <c r="F81" s="1">
        <f t="shared" si="21"/>
        <v>-1075.5907400000001</v>
      </c>
      <c r="G81" s="7">
        <f>F81+F4-F34-(F46-G64)</f>
        <v>-2.5572649268838177E-2</v>
      </c>
      <c r="H81" s="2">
        <f>627.5095*G81</f>
        <v>-16.04708035636401</v>
      </c>
      <c r="I81" s="2">
        <f t="shared" si="22"/>
        <v>17.343171300986693</v>
      </c>
    </row>
    <row r="82" spans="1:10" ht="15.75" x14ac:dyDescent="0.4">
      <c r="A82" s="1" t="s">
        <v>156</v>
      </c>
      <c r="B82" s="9" t="s">
        <v>157</v>
      </c>
      <c r="C82" s="1">
        <v>-1342.285513</v>
      </c>
      <c r="D82" s="24"/>
      <c r="E82" s="24"/>
      <c r="F82" s="1">
        <f t="shared" si="21"/>
        <v>-1342.285513</v>
      </c>
      <c r="G82" s="7">
        <f>F82+F4-F51-(F46-G64)</f>
        <v>-2.837264926881744E-2</v>
      </c>
      <c r="H82" s="2">
        <f t="shared" ref="H82:H89" si="23">627.5095*G82</f>
        <v>-17.804106956350999</v>
      </c>
      <c r="I82" s="2">
        <f t="shared" si="22"/>
        <v>15.586144700999704</v>
      </c>
    </row>
    <row r="83" spans="1:10" s="20" customFormat="1" ht="15.75" x14ac:dyDescent="0.4">
      <c r="A83" s="20" t="s">
        <v>158</v>
      </c>
      <c r="B83" s="21" t="s">
        <v>159</v>
      </c>
      <c r="C83" s="20">
        <v>-1150.599009</v>
      </c>
      <c r="D83" s="51"/>
      <c r="E83" s="51"/>
      <c r="F83" s="20">
        <f t="shared" si="21"/>
        <v>-1150.599009</v>
      </c>
      <c r="G83" s="22">
        <f>F83+F4-F53-(F64-G64)</f>
        <v>-2.736164926886886E-2</v>
      </c>
      <c r="H83" s="23">
        <f>627.5095*G83</f>
        <v>-17.169694851883264</v>
      </c>
      <c r="I83" s="23">
        <f>H83-H$64</f>
        <v>16.220556805467439</v>
      </c>
    </row>
    <row r="84" spans="1:10" s="20" customFormat="1" ht="15.75" x14ac:dyDescent="0.4">
      <c r="A84" s="20" t="s">
        <v>160</v>
      </c>
      <c r="B84" s="20" t="s">
        <v>161</v>
      </c>
      <c r="C84" s="20">
        <v>-1355.124853</v>
      </c>
      <c r="D84" s="51"/>
      <c r="E84" s="51"/>
      <c r="F84" s="20">
        <f t="shared" si="21"/>
        <v>-1355.124853</v>
      </c>
      <c r="G84" s="22">
        <f>F84+F4-F55-(F64-G64)</f>
        <v>-3.0922649268745772E-2</v>
      </c>
      <c r="H84" s="23">
        <f>627.5095*G84</f>
        <v>-19.404256181306025</v>
      </c>
      <c r="I84" s="23">
        <f t="shared" si="22"/>
        <v>13.985995476044678</v>
      </c>
    </row>
    <row r="85" spans="1:10" s="20" customFormat="1" ht="15.75" x14ac:dyDescent="0.4">
      <c r="A85" s="20" t="s">
        <v>162</v>
      </c>
      <c r="B85" s="21" t="s">
        <v>163</v>
      </c>
      <c r="C85" s="20">
        <v>-1265.1057510000001</v>
      </c>
      <c r="D85" s="51"/>
      <c r="E85" s="51"/>
      <c r="F85" s="20">
        <f t="shared" si="21"/>
        <v>-1265.1057510000001</v>
      </c>
      <c r="G85" s="22">
        <f>F85+F4-F57-(F64-G64)</f>
        <v>-2.5219649268819921E-2</v>
      </c>
      <c r="H85" s="23">
        <f>627.5095*G85</f>
        <v>-15.825569502852554</v>
      </c>
      <c r="I85" s="23">
        <f t="shared" si="22"/>
        <v>17.564682154498151</v>
      </c>
    </row>
    <row r="86" spans="1:10" ht="15.75" x14ac:dyDescent="0.4">
      <c r="A86" s="15" t="s">
        <v>164</v>
      </c>
      <c r="B86" s="9" t="s">
        <v>165</v>
      </c>
      <c r="C86" s="1">
        <v>-1075.6221599999999</v>
      </c>
      <c r="D86" s="24"/>
      <c r="E86" s="24"/>
      <c r="F86" s="1">
        <f>E86+C86</f>
        <v>-1075.6221599999999</v>
      </c>
      <c r="G86" s="7">
        <f>F86+F4-F34-(F46-G64)</f>
        <v>-5.6992649268636342E-2</v>
      </c>
      <c r="H86" s="2">
        <f>627.5095*G86</f>
        <v>-35.763428846237353</v>
      </c>
      <c r="I86" s="2">
        <f>H86-H$64</f>
        <v>-2.3731771888866504</v>
      </c>
    </row>
    <row r="87" spans="1:10" ht="15.75" x14ac:dyDescent="0.4">
      <c r="A87" s="1" t="s">
        <v>166</v>
      </c>
      <c r="B87" s="24"/>
      <c r="C87" s="24"/>
      <c r="D87" s="24"/>
      <c r="E87" s="24"/>
      <c r="F87" s="1">
        <f>F71</f>
        <v>-255.75693000000001</v>
      </c>
      <c r="G87" s="7">
        <f>F87+F8+F6+F60-4*F4-(F64-G64)-F34+2*F4</f>
        <v>-9.3222155123527273E-2</v>
      </c>
      <c r="H87" s="2">
        <f t="shared" si="23"/>
        <v>-58.497787950487037</v>
      </c>
      <c r="I87" s="2">
        <f t="shared" si="22"/>
        <v>-25.107536293136334</v>
      </c>
    </row>
    <row r="88" spans="1:10" ht="16.5" x14ac:dyDescent="0.4">
      <c r="A88" s="1" t="s">
        <v>167</v>
      </c>
      <c r="B88" s="24"/>
      <c r="C88" s="24"/>
      <c r="D88" s="24"/>
      <c r="E88" s="24"/>
      <c r="F88" s="1">
        <f>F75</f>
        <v>-371.44472999999999</v>
      </c>
      <c r="G88" s="7">
        <f>F88+F8+F6+F60-4*F4-(F64-G64)-F34+F4</f>
        <v>-7.2781157611316871E-2</v>
      </c>
      <c r="H88" s="2">
        <f t="shared" si="23"/>
        <v>-45.670867822098643</v>
      </c>
      <c r="I88" s="2">
        <f t="shared" si="22"/>
        <v>-12.28061616474794</v>
      </c>
    </row>
    <row r="89" spans="1:10" ht="15.75" x14ac:dyDescent="0.4">
      <c r="A89" s="1" t="s">
        <v>168</v>
      </c>
      <c r="B89" s="24"/>
      <c r="C89" s="24"/>
      <c r="D89" s="24"/>
      <c r="E89" s="24"/>
      <c r="F89" s="1">
        <f>F76</f>
        <v>-371.00416300000001</v>
      </c>
      <c r="G89" s="7">
        <f>F89+F8+F60-3*F4-(F64-G64)-F34+F4</f>
        <v>-8.2847811773390845E-2</v>
      </c>
      <c r="H89" s="2">
        <f t="shared" si="23"/>
        <v>-51.987788942014603</v>
      </c>
      <c r="I89" s="2">
        <f t="shared" si="22"/>
        <v>-18.5975372846639</v>
      </c>
    </row>
    <row r="90" spans="1:10" ht="15.75" x14ac:dyDescent="0.4">
      <c r="A90" s="1" t="s">
        <v>169</v>
      </c>
      <c r="B90" s="24"/>
      <c r="C90" s="24"/>
      <c r="D90" s="24"/>
      <c r="E90" s="24"/>
      <c r="F90" s="1">
        <f>F77</f>
        <v>-996.086996</v>
      </c>
      <c r="G90" s="7">
        <f>F90+F60-(F64-G64)-F34-F4</f>
        <v>-9.651165424394037E-2</v>
      </c>
      <c r="H90" s="2">
        <f>627.5095*G90</f>
        <v>-60.561979898787897</v>
      </c>
      <c r="I90" s="2">
        <f t="shared" si="22"/>
        <v>-27.171728241437194</v>
      </c>
    </row>
    <row r="91" spans="1:10" s="37" customFormat="1" ht="14.25" x14ac:dyDescent="0.4">
      <c r="A91" s="33" t="s">
        <v>170</v>
      </c>
      <c r="B91" s="34"/>
      <c r="C91" s="33"/>
      <c r="D91" s="33"/>
      <c r="E91" s="33"/>
      <c r="F91" s="33"/>
      <c r="G91" s="35"/>
      <c r="H91" s="36"/>
      <c r="I91" s="36"/>
      <c r="J91" s="33"/>
    </row>
    <row r="92" spans="1:10" s="11" customFormat="1" ht="18.75" customHeight="1" x14ac:dyDescent="0.4">
      <c r="A92" s="18" t="s">
        <v>171</v>
      </c>
      <c r="B92" s="68" t="s">
        <v>172</v>
      </c>
      <c r="C92" s="69"/>
      <c r="D92" s="69"/>
      <c r="E92" s="69"/>
      <c r="F92" s="69"/>
      <c r="G92" s="69"/>
      <c r="H92" s="69"/>
      <c r="I92" s="69"/>
    </row>
    <row r="93" spans="1:10" s="11" customFormat="1" ht="16.5" x14ac:dyDescent="0.4">
      <c r="A93" s="11" t="s">
        <v>173</v>
      </c>
      <c r="B93" s="12" t="s">
        <v>174</v>
      </c>
      <c r="C93" s="11">
        <v>-565.53349800000001</v>
      </c>
      <c r="D93" s="24"/>
      <c r="E93" s="24"/>
      <c r="F93" s="11">
        <f>E93+C93</f>
        <v>-565.53349800000001</v>
      </c>
      <c r="G93" s="13">
        <f>F93+F4-F34-(F75-G70)</f>
        <v>-7.7990051059828147E-2</v>
      </c>
      <c r="H93" s="14">
        <f>627.5095*G93</f>
        <v>-48.939497945527229</v>
      </c>
      <c r="I93" s="14"/>
    </row>
    <row r="94" spans="1:10" s="11" customFormat="1" ht="18" x14ac:dyDescent="0.4">
      <c r="A94" s="11" t="s">
        <v>175</v>
      </c>
      <c r="B94" s="12" t="s">
        <v>176</v>
      </c>
      <c r="C94" s="11">
        <v>-565.50871700000005</v>
      </c>
      <c r="D94" s="24"/>
      <c r="E94" s="24"/>
      <c r="F94" s="11">
        <f>E94+C94</f>
        <v>-565.50871700000005</v>
      </c>
      <c r="G94" s="13">
        <f>F94-(F93-G93)</f>
        <v>-5.3209051059866397E-2</v>
      </c>
      <c r="H94" s="14">
        <f>627.5095*G94</f>
        <v>-33.38918502605123</v>
      </c>
      <c r="I94" s="14">
        <f>H94-H70</f>
        <v>19.660563884530269</v>
      </c>
    </row>
    <row r="95" spans="1:10" s="11" customFormat="1" ht="18" x14ac:dyDescent="0.4">
      <c r="A95" s="11" t="s">
        <v>177</v>
      </c>
      <c r="B95" s="12" t="s">
        <v>178</v>
      </c>
      <c r="C95" s="11">
        <v>-565.50413500000002</v>
      </c>
      <c r="D95" s="24"/>
      <c r="E95" s="24"/>
      <c r="F95" s="11">
        <f>E95+C95</f>
        <v>-565.50413500000002</v>
      </c>
      <c r="G95" s="13">
        <f>F95-(F93-G93)</f>
        <v>-4.8627051059838777E-2</v>
      </c>
      <c r="H95" s="14">
        <f>627.5095*G95</f>
        <v>-30.513936497033903</v>
      </c>
      <c r="I95" s="14"/>
    </row>
    <row r="96" spans="1:10" s="11" customFormat="1" ht="15.75" x14ac:dyDescent="0.4">
      <c r="A96" s="11" t="s">
        <v>179</v>
      </c>
      <c r="B96" s="12" t="s">
        <v>180</v>
      </c>
      <c r="C96" s="11">
        <v>-565.59282700000006</v>
      </c>
      <c r="D96" s="24"/>
      <c r="E96" s="24"/>
      <c r="F96" s="11">
        <f>F60+F101</f>
        <v>-797.00115300000004</v>
      </c>
      <c r="G96" s="13">
        <f>F96-2*F4-(F93-G93)</f>
        <v>-0.12916305603516776</v>
      </c>
      <c r="H96" s="14">
        <f>627.5095*G96</f>
        <v>-81.051044711100104</v>
      </c>
      <c r="I96" s="14"/>
    </row>
    <row r="97" spans="1:10" s="11" customFormat="1" ht="15.75" x14ac:dyDescent="0.4">
      <c r="A97" s="11" t="s">
        <v>181</v>
      </c>
      <c r="B97" s="12" t="s">
        <v>182</v>
      </c>
      <c r="C97" s="11">
        <v>-370.316845</v>
      </c>
      <c r="D97" s="24"/>
      <c r="E97" s="24"/>
      <c r="F97" s="11">
        <f>E97+C97</f>
        <v>-370.316845</v>
      </c>
      <c r="G97" s="13"/>
      <c r="H97" s="14"/>
      <c r="I97" s="14"/>
    </row>
    <row r="98" spans="1:10" s="37" customFormat="1" ht="14.25" x14ac:dyDescent="0.4">
      <c r="A98" s="33" t="s">
        <v>183</v>
      </c>
      <c r="B98" s="34"/>
      <c r="C98" s="38"/>
      <c r="D98" s="38"/>
      <c r="E98" s="38"/>
      <c r="F98" s="38"/>
      <c r="G98" s="39"/>
      <c r="H98" s="40"/>
      <c r="I98" s="40"/>
      <c r="J98" s="38"/>
    </row>
    <row r="99" spans="1:10" s="11" customFormat="1" ht="16.5" x14ac:dyDescent="0.4">
      <c r="A99" s="11" t="s">
        <v>184</v>
      </c>
      <c r="B99" s="12" t="s">
        <v>185</v>
      </c>
      <c r="C99" s="11">
        <v>-487.12799200000001</v>
      </c>
      <c r="D99" s="24"/>
      <c r="E99" s="24"/>
      <c r="F99" s="11">
        <f>E99+C99</f>
        <v>-487.12799200000001</v>
      </c>
      <c r="G99" s="13">
        <f>F99-(F76-G76)-(F5-G5)</f>
        <v>-2.7276358276182577E-2</v>
      </c>
      <c r="H99" s="14">
        <f t="shared" ref="H99:H100" si="24">627.5095*G99</f>
        <v>-17.116173943708191</v>
      </c>
      <c r="I99" s="14">
        <f t="shared" ref="I99:I103" si="25">H99-H$77</f>
        <v>30.565670316289534</v>
      </c>
    </row>
    <row r="100" spans="1:10" s="11" customFormat="1" ht="16.5" x14ac:dyDescent="0.4">
      <c r="A100" s="11" t="s">
        <v>186</v>
      </c>
      <c r="B100" s="12" t="s">
        <v>187</v>
      </c>
      <c r="C100" s="11">
        <v>-487.131461</v>
      </c>
      <c r="D100" s="24"/>
      <c r="E100" s="24"/>
      <c r="F100" s="11">
        <f>E100+C100</f>
        <v>-487.131461</v>
      </c>
      <c r="G100" s="13">
        <f>F100-(F76-G76)-(F5-G5)</f>
        <v>-3.0745358276178081E-2</v>
      </c>
      <c r="H100" s="14">
        <f t="shared" si="24"/>
        <v>-19.293004399205369</v>
      </c>
      <c r="I100" s="14">
        <f>H100-H$77</f>
        <v>28.388839860792356</v>
      </c>
    </row>
    <row r="101" spans="1:10" s="11" customFormat="1" ht="16.5" x14ac:dyDescent="0.4">
      <c r="A101" s="11" t="s">
        <v>188</v>
      </c>
      <c r="B101" s="12" t="s">
        <v>189</v>
      </c>
      <c r="C101" s="11">
        <v>-486.00998800000002</v>
      </c>
      <c r="D101" s="24"/>
      <c r="E101" s="24"/>
      <c r="F101" s="11">
        <f>E101+C101</f>
        <v>-486.00998800000002</v>
      </c>
      <c r="G101" s="13">
        <f>F101+F29-(F100-G100)</f>
        <v>-8.6615358276219467E-2</v>
      </c>
      <c r="H101" s="14">
        <f>627.5095*G101</f>
        <v>-54.351960164231343</v>
      </c>
      <c r="I101" s="14">
        <f t="shared" si="25"/>
        <v>-6.6701159042336187</v>
      </c>
    </row>
    <row r="102" spans="1:10" s="11" customFormat="1" ht="15.75" x14ac:dyDescent="0.4">
      <c r="A102" s="11" t="s">
        <v>190</v>
      </c>
      <c r="B102" s="12" t="s">
        <v>191</v>
      </c>
      <c r="C102" s="11">
        <v>-485.56574000000001</v>
      </c>
      <c r="D102" s="24"/>
      <c r="E102" s="24"/>
      <c r="F102" s="11">
        <f>E102+C102</f>
        <v>-485.56574000000001</v>
      </c>
      <c r="G102" s="13">
        <f>F102+F4-F6-(F101-G101)</f>
        <v>-9.3001012438378439E-2</v>
      </c>
      <c r="H102" s="14">
        <f>627.5095*G102</f>
        <v>-58.359018814700633</v>
      </c>
      <c r="I102" s="14">
        <f t="shared" si="25"/>
        <v>-10.677174554702908</v>
      </c>
    </row>
    <row r="103" spans="1:10" s="11" customFormat="1" ht="15.75" x14ac:dyDescent="0.4">
      <c r="A103" s="11" t="s">
        <v>192</v>
      </c>
      <c r="B103" s="12" t="s">
        <v>193</v>
      </c>
      <c r="C103" s="11">
        <v>-1110.645589</v>
      </c>
      <c r="D103" s="24"/>
      <c r="E103" s="24"/>
      <c r="F103" s="11">
        <f>E103+C103</f>
        <v>-1110.645589</v>
      </c>
      <c r="G103" s="13">
        <f>F103+F4-(F102-G102)-F8</f>
        <v>-0.10368085490904377</v>
      </c>
      <c r="H103" s="14">
        <f>627.5095*G103</f>
        <v>-65.06072142354661</v>
      </c>
      <c r="I103" s="14">
        <f t="shared" si="25"/>
        <v>-17.378877163548886</v>
      </c>
    </row>
    <row r="104" spans="1:10" s="29" customFormat="1" ht="14.25" x14ac:dyDescent="0.4">
      <c r="A104" s="25" t="s">
        <v>194</v>
      </c>
      <c r="B104" s="26"/>
      <c r="C104" s="25"/>
      <c r="D104" s="25"/>
      <c r="E104" s="25"/>
      <c r="F104" s="25"/>
      <c r="G104" s="27"/>
      <c r="H104" s="28"/>
      <c r="I104" s="28"/>
      <c r="J104" s="25"/>
    </row>
    <row r="105" spans="1:10" ht="15.75" x14ac:dyDescent="0.4">
      <c r="A105" s="1" t="s">
        <v>195</v>
      </c>
      <c r="B105" s="9" t="s">
        <v>196</v>
      </c>
      <c r="C105" s="1">
        <v>-1190.1773169999999</v>
      </c>
      <c r="D105" s="24"/>
      <c r="E105" s="24"/>
      <c r="F105" s="1">
        <f t="shared" ref="F105:F111" si="26">E105+C105</f>
        <v>-1190.1773169999999</v>
      </c>
      <c r="G105" s="7">
        <f>F105+F4-F34-(F77-G90)</f>
        <v>-9.1514552667604221E-2</v>
      </c>
      <c r="H105" s="2">
        <f>627.5095*G105</f>
        <v>-57.426251187171992</v>
      </c>
      <c r="I105" s="2">
        <f t="shared" ref="I105:I106" si="27">H105-H$90</f>
        <v>3.1357287116159043</v>
      </c>
      <c r="J105" s="19"/>
    </row>
    <row r="106" spans="1:10" ht="15.75" x14ac:dyDescent="0.4">
      <c r="A106" s="1" t="s">
        <v>197</v>
      </c>
      <c r="B106" s="9" t="s">
        <v>198</v>
      </c>
      <c r="C106" s="1">
        <v>-1190.1565439999999</v>
      </c>
      <c r="D106" s="24"/>
      <c r="E106" s="24"/>
      <c r="F106" s="1">
        <f t="shared" si="26"/>
        <v>-1190.1565439999999</v>
      </c>
      <c r="G106" s="7">
        <f>F106+F4-F34-(F77-G90)</f>
        <v>-7.0741552667641372E-2</v>
      </c>
      <c r="H106" s="2">
        <f>627.5095*G106</f>
        <v>-44.390996343695306</v>
      </c>
      <c r="I106" s="2">
        <f t="shared" si="27"/>
        <v>16.17098355509259</v>
      </c>
      <c r="J106" s="2" t="s">
        <v>199</v>
      </c>
    </row>
    <row r="107" spans="1:10" ht="15.75" x14ac:dyDescent="0.4">
      <c r="A107" s="1" t="s">
        <v>200</v>
      </c>
      <c r="B107" s="9" t="s">
        <v>201</v>
      </c>
      <c r="C107" s="1">
        <v>-1190.1525710000001</v>
      </c>
      <c r="D107" s="24"/>
      <c r="E107" s="24"/>
      <c r="F107" s="1">
        <f t="shared" si="26"/>
        <v>-1190.1525710000001</v>
      </c>
      <c r="G107" s="7">
        <f>F107+F4-F34-(F77-G90)</f>
        <v>-6.6768552667781478E-2</v>
      </c>
      <c r="H107" s="2">
        <f>627.5095*G107</f>
        <v>-41.897901100283221</v>
      </c>
      <c r="I107" s="2">
        <f t="shared" ref="I107:I116" si="28">H107-H$90</f>
        <v>18.664078798504676</v>
      </c>
    </row>
    <row r="108" spans="1:10" ht="15.75" x14ac:dyDescent="0.4">
      <c r="A108" s="1" t="s">
        <v>202</v>
      </c>
      <c r="B108" s="9" t="s">
        <v>203</v>
      </c>
      <c r="C108" s="1">
        <v>-1456.8437260000001</v>
      </c>
      <c r="D108" s="24"/>
      <c r="E108" s="24"/>
      <c r="F108" s="1">
        <f t="shared" si="26"/>
        <v>-1456.8437260000001</v>
      </c>
      <c r="G108" s="7">
        <f>F108+F4-F51-(F77-G90)</f>
        <v>-6.5950552667800366E-2</v>
      </c>
      <c r="H108" s="2">
        <f t="shared" ref="H108:H116" si="29">627.5095*G108</f>
        <v>-41.384598329295073</v>
      </c>
      <c r="I108" s="2">
        <f t="shared" si="28"/>
        <v>19.177381569492823</v>
      </c>
    </row>
    <row r="109" spans="1:10" s="20" customFormat="1" ht="15.75" x14ac:dyDescent="0.4">
      <c r="A109" s="20" t="s">
        <v>204</v>
      </c>
      <c r="B109" s="21" t="s">
        <v>205</v>
      </c>
      <c r="C109" s="20">
        <v>-1265.1584499999999</v>
      </c>
      <c r="D109" s="51"/>
      <c r="E109" s="51"/>
      <c r="F109" s="20">
        <f t="shared" si="26"/>
        <v>-1265.1584499999999</v>
      </c>
      <c r="G109" s="22">
        <f>F109+F4-F53-(F77-G90)</f>
        <v>-6.6167552667707241E-2</v>
      </c>
      <c r="H109" s="23">
        <f>627.5095*G109</f>
        <v>-41.520767890736636</v>
      </c>
      <c r="I109" s="23">
        <f t="shared" si="28"/>
        <v>19.041212008051261</v>
      </c>
    </row>
    <row r="110" spans="1:10" s="20" customFormat="1" ht="15.75" x14ac:dyDescent="0.4">
      <c r="A110" s="20" t="s">
        <v>206</v>
      </c>
      <c r="B110" s="21" t="s">
        <v>207</v>
      </c>
      <c r="C110" s="20">
        <v>-1469.686269</v>
      </c>
      <c r="D110" s="51"/>
      <c r="E110" s="51"/>
      <c r="F110" s="20">
        <f t="shared" si="26"/>
        <v>-1469.686269</v>
      </c>
      <c r="G110" s="22">
        <f>F110+F4-F55-(F77-G90)</f>
        <v>-7.1703552667713666E-2</v>
      </c>
      <c r="H110" s="23">
        <f>627.5095*G110</f>
        <v>-44.99466048274067</v>
      </c>
      <c r="I110" s="23">
        <f t="shared" si="28"/>
        <v>15.567319416047226</v>
      </c>
    </row>
    <row r="111" spans="1:10" s="20" customFormat="1" ht="15.75" x14ac:dyDescent="0.4">
      <c r="A111" s="20" t="s">
        <v>208</v>
      </c>
      <c r="B111" s="21" t="s">
        <v>209</v>
      </c>
      <c r="C111" s="20">
        <v>-1379.6656190000001</v>
      </c>
      <c r="D111" s="51"/>
      <c r="E111" s="51"/>
      <c r="F111" s="20">
        <f t="shared" si="26"/>
        <v>-1379.6656190000001</v>
      </c>
      <c r="G111" s="22">
        <f>F111+F4-F57-(F77-G90)</f>
        <v>-6.4452552667830787E-2</v>
      </c>
      <c r="H111" s="23">
        <f>627.5095*G111</f>
        <v>-40.444589098314161</v>
      </c>
      <c r="I111" s="23">
        <f t="shared" si="28"/>
        <v>20.117390800473736</v>
      </c>
    </row>
    <row r="112" spans="1:10" ht="15.75" x14ac:dyDescent="0.4">
      <c r="A112" s="1" t="s">
        <v>210</v>
      </c>
      <c r="B112" s="9" t="s">
        <v>211</v>
      </c>
      <c r="C112" s="1">
        <v>-1190.184935</v>
      </c>
      <c r="D112" s="24"/>
      <c r="E112" s="24"/>
      <c r="F112" s="1">
        <f>E112+C112</f>
        <v>-1190.184935</v>
      </c>
      <c r="G112" s="7">
        <f>F112+F4-F34-(F77-G90)</f>
        <v>-9.9132552667697382E-2</v>
      </c>
      <c r="H112" s="2">
        <f>627.5095*G112</f>
        <v>-62.206618558230453</v>
      </c>
      <c r="I112" s="2">
        <f>H112-H$90</f>
        <v>-1.6446386594425562</v>
      </c>
    </row>
    <row r="113" spans="1:9" ht="15.75" x14ac:dyDescent="0.4">
      <c r="A113" s="1" t="s">
        <v>212</v>
      </c>
      <c r="B113" s="24"/>
      <c r="C113" s="24"/>
      <c r="D113" s="24"/>
      <c r="E113" s="24"/>
      <c r="F113" s="1">
        <f>F97</f>
        <v>-370.316845</v>
      </c>
      <c r="G113" s="7">
        <f>F113+F8+F6+F60-4*F4-(F90-G90)-F34+2*F4</f>
        <v>-0.13250205852276054</v>
      </c>
      <c r="H113" s="2">
        <f t="shared" si="29"/>
        <v>-83.146300492588196</v>
      </c>
      <c r="I113" s="2">
        <f t="shared" si="28"/>
        <v>-22.5843205938003</v>
      </c>
    </row>
    <row r="114" spans="1:9" ht="16.5" x14ac:dyDescent="0.4">
      <c r="A114" s="1" t="s">
        <v>213</v>
      </c>
      <c r="B114" s="24"/>
      <c r="C114" s="24"/>
      <c r="D114" s="24"/>
      <c r="E114" s="24"/>
      <c r="F114" s="1">
        <f>F101</f>
        <v>-486.00998800000002</v>
      </c>
      <c r="G114" s="7">
        <f>F114+F8+F6+F60-4*F4-(F90-G90)-F34+F4</f>
        <v>-0.11740406101036172</v>
      </c>
      <c r="H114" s="2">
        <f t="shared" si="29"/>
        <v>-73.672163622581579</v>
      </c>
      <c r="I114" s="2">
        <f t="shared" si="28"/>
        <v>-13.110183723793682</v>
      </c>
    </row>
    <row r="115" spans="1:9" ht="15.75" x14ac:dyDescent="0.4">
      <c r="A115" s="1" t="s">
        <v>214</v>
      </c>
      <c r="B115" s="24"/>
      <c r="C115" s="24"/>
      <c r="D115" s="24"/>
      <c r="E115" s="24"/>
      <c r="F115" s="1">
        <f>F102</f>
        <v>-485.56574000000001</v>
      </c>
      <c r="G115" s="7">
        <f>F115+F8+F60-3*F4-(F90-G90)-F34+F4</f>
        <v>-0.12378971517229331</v>
      </c>
      <c r="H115" s="2">
        <f t="shared" si="29"/>
        <v>-77.679222272908191</v>
      </c>
      <c r="I115" s="2">
        <f t="shared" si="28"/>
        <v>-17.117242374120295</v>
      </c>
    </row>
    <row r="116" spans="1:9" ht="15.75" x14ac:dyDescent="0.4">
      <c r="A116" s="1" t="s">
        <v>215</v>
      </c>
      <c r="B116" s="24"/>
      <c r="C116" s="24"/>
      <c r="D116" s="24"/>
      <c r="E116" s="24"/>
      <c r="F116" s="1">
        <f>F103</f>
        <v>-1110.645589</v>
      </c>
      <c r="G116" s="7">
        <f>F116+F60-(F90-G90)-F34-F4</f>
        <v>-0.13446955764310076</v>
      </c>
      <c r="H116" s="2">
        <f t="shared" si="29"/>
        <v>-84.380924881843342</v>
      </c>
      <c r="I116" s="2">
        <f t="shared" si="28"/>
        <v>-23.818944983055445</v>
      </c>
    </row>
  </sheetData>
  <mergeCells count="1">
    <mergeCell ref="B92:I92"/>
  </mergeCells>
  <phoneticPr fontId="1"/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AE029-0284-4BB6-8A2C-27AB45A5A4CF}">
  <dimension ref="A1:G8"/>
  <sheetViews>
    <sheetView workbookViewId="0">
      <selection activeCell="E6" sqref="E6"/>
    </sheetView>
  </sheetViews>
  <sheetFormatPr defaultRowHeight="18.75" x14ac:dyDescent="0.4"/>
  <cols>
    <col min="1" max="1" width="13.75" customWidth="1"/>
    <col min="2" max="2" width="10.375" customWidth="1"/>
    <col min="3" max="3" width="11.125" bestFit="1" customWidth="1"/>
    <col min="4" max="7" width="10.875" bestFit="1" customWidth="1"/>
  </cols>
  <sheetData>
    <row r="1" spans="1:7" x14ac:dyDescent="0.4">
      <c r="A1" s="44"/>
      <c r="B1" s="44"/>
      <c r="C1" s="70" t="s">
        <v>216</v>
      </c>
      <c r="D1" s="70"/>
      <c r="E1" s="71" t="s">
        <v>217</v>
      </c>
      <c r="F1" s="71"/>
      <c r="G1" s="71"/>
    </row>
    <row r="2" spans="1:7" ht="19.5" thickBot="1" x14ac:dyDescent="0.45">
      <c r="A2" s="46"/>
      <c r="B2" s="46" t="s">
        <v>218</v>
      </c>
      <c r="C2" s="46" t="s">
        <v>219</v>
      </c>
      <c r="D2" s="46" t="s">
        <v>220</v>
      </c>
      <c r="E2" s="46" t="s">
        <v>221</v>
      </c>
      <c r="F2" s="46" t="s">
        <v>222</v>
      </c>
      <c r="G2" s="46" t="s">
        <v>223</v>
      </c>
    </row>
    <row r="3" spans="1:7" x14ac:dyDescent="0.4">
      <c r="A3" s="45" t="s">
        <v>224</v>
      </c>
      <c r="B3" s="64">
        <f>TS_calculation!I26</f>
        <v>21.786909701400603</v>
      </c>
      <c r="C3" s="64">
        <f>TS_calculation!I13</f>
        <v>26.48419791667412</v>
      </c>
      <c r="D3" s="64">
        <f>TS_calculation!I14</f>
        <v>29.019963806192489</v>
      </c>
      <c r="E3" s="64">
        <f>TS_calculation!I17</f>
        <v>24.961859869665318</v>
      </c>
      <c r="F3" s="64">
        <f>TS_calculation!I15</f>
        <v>26.537536224110795</v>
      </c>
      <c r="G3" s="64">
        <f>TS_calculation!I18</f>
        <v>30.589365065653809</v>
      </c>
    </row>
    <row r="4" spans="1:7" x14ac:dyDescent="0.4">
      <c r="A4" s="45" t="s">
        <v>225</v>
      </c>
      <c r="B4" s="64">
        <f>TS_calculation!I43</f>
        <v>22.980335480250318</v>
      </c>
      <c r="C4" s="64">
        <f>TS_calculation!I49</f>
        <v>13.8021351925095</v>
      </c>
      <c r="D4" s="64">
        <f>TS_calculation!I50</f>
        <v>15.861621371517586</v>
      </c>
      <c r="E4" s="64">
        <f>TS_calculation!I56</f>
        <v>14.180523420981576</v>
      </c>
      <c r="F4" s="64">
        <f>TS_calculation!I54</f>
        <v>15.414207097970095</v>
      </c>
      <c r="G4" s="64">
        <f>TS_calculation!I58</f>
        <v>18.441312925996392</v>
      </c>
    </row>
    <row r="5" spans="1:7" x14ac:dyDescent="0.4">
      <c r="A5" s="45" t="s">
        <v>226</v>
      </c>
      <c r="B5" s="64">
        <f>TS_calculation!I74</f>
        <v>26.347551457238325</v>
      </c>
      <c r="C5" s="64">
        <f>TS_calculation!I80</f>
        <v>15.357731243005677</v>
      </c>
      <c r="D5" s="64">
        <f>TS_calculation!I81</f>
        <v>17.343171300986693</v>
      </c>
      <c r="E5" s="64">
        <f>TS_calculation!I84</f>
        <v>13.985995476044678</v>
      </c>
      <c r="F5" s="64">
        <f>TS_calculation!I83</f>
        <v>16.220556805467439</v>
      </c>
      <c r="G5" s="64">
        <f>TS_calculation!I85</f>
        <v>17.564682154498151</v>
      </c>
    </row>
    <row r="6" spans="1:7" x14ac:dyDescent="0.4">
      <c r="A6" s="45" t="s">
        <v>227</v>
      </c>
      <c r="B6" s="64">
        <f>TS_calculation!I100</f>
        <v>28.388839860792356</v>
      </c>
      <c r="C6" s="64">
        <f>TS_calculation!I106</f>
        <v>16.17098355509259</v>
      </c>
      <c r="D6" s="64">
        <f>TS_calculation!I107</f>
        <v>18.664078798504676</v>
      </c>
      <c r="E6" s="64">
        <f>TS_calculation!I110</f>
        <v>15.567319416047226</v>
      </c>
      <c r="F6" s="64">
        <f>TS_calculation!I109</f>
        <v>19.041212008051261</v>
      </c>
      <c r="G6" s="64">
        <f>TS_calculation!I111</f>
        <v>20.117390800473736</v>
      </c>
    </row>
    <row r="7" spans="1:7" x14ac:dyDescent="0.4">
      <c r="A7" s="45" t="s">
        <v>228</v>
      </c>
      <c r="B7" s="64">
        <f>AVERAGE(B4:B6)</f>
        <v>25.905575599426999</v>
      </c>
      <c r="C7" s="64">
        <f>AVERAGE(C4:C6)</f>
        <v>15.11028333020259</v>
      </c>
      <c r="D7" s="64">
        <f>AVERAGE(D4:D6)</f>
        <v>17.289623823669654</v>
      </c>
      <c r="E7" s="64">
        <f t="shared" ref="E7:F7" si="0">AVERAGE(E4:E6)</f>
        <v>14.577946104357826</v>
      </c>
      <c r="F7" s="64">
        <f t="shared" si="0"/>
        <v>16.891991970496264</v>
      </c>
      <c r="G7" s="64">
        <f>AVERAGE(G4:G6)</f>
        <v>18.707795293656094</v>
      </c>
    </row>
    <row r="8" spans="1:7" ht="19.5" thickBot="1" x14ac:dyDescent="0.45">
      <c r="A8" s="46" t="s">
        <v>229</v>
      </c>
      <c r="B8" s="65" t="s">
        <v>230</v>
      </c>
      <c r="C8" s="65">
        <f>-2.56</f>
        <v>-2.56</v>
      </c>
      <c r="D8" s="65">
        <f>-1.72</f>
        <v>-1.72</v>
      </c>
      <c r="E8" s="65">
        <v>-2.02</v>
      </c>
      <c r="F8" s="65">
        <v>-0.25</v>
      </c>
      <c r="G8" s="65">
        <v>0.56000000000000005</v>
      </c>
    </row>
  </sheetData>
  <mergeCells count="2">
    <mergeCell ref="C1:D1"/>
    <mergeCell ref="E1:G1"/>
  </mergeCells>
  <phoneticPr fontId="1"/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70D9C-A4A6-4346-9F71-30E85C21849F}">
  <dimension ref="A2:H7"/>
  <sheetViews>
    <sheetView zoomScale="88" workbookViewId="0">
      <selection activeCell="H3" sqref="H3:H5"/>
    </sheetView>
  </sheetViews>
  <sheetFormatPr defaultRowHeight="18.75" x14ac:dyDescent="0.4"/>
  <cols>
    <col min="1" max="1" width="16.875" bestFit="1" customWidth="1"/>
  </cols>
  <sheetData>
    <row r="2" spans="1:8" x14ac:dyDescent="0.4">
      <c r="A2" s="66"/>
      <c r="B2" s="66" t="s">
        <v>231</v>
      </c>
      <c r="C2" s="66" t="s">
        <v>232</v>
      </c>
      <c r="D2" s="66" t="s">
        <v>233</v>
      </c>
      <c r="E2" s="66" t="s">
        <v>234</v>
      </c>
      <c r="F2" s="66" t="s">
        <v>235</v>
      </c>
      <c r="G2" s="66" t="s">
        <v>236</v>
      </c>
      <c r="H2" s="66" t="s">
        <v>240</v>
      </c>
    </row>
    <row r="3" spans="1:8" x14ac:dyDescent="0.4">
      <c r="A3" s="66" t="s">
        <v>237</v>
      </c>
      <c r="B3" s="66">
        <v>-33.159999999999997</v>
      </c>
      <c r="C3" s="66">
        <v>-70.930000000000007</v>
      </c>
      <c r="D3" s="66">
        <v>-76.510000000000005</v>
      </c>
      <c r="E3" s="66">
        <v>183.42</v>
      </c>
      <c r="F3" s="66">
        <v>-58.52</v>
      </c>
      <c r="G3" s="66">
        <v>-10.62</v>
      </c>
      <c r="H3">
        <f>SUM(B3:G3)</f>
        <v>-66.320000000000036</v>
      </c>
    </row>
    <row r="4" spans="1:8" x14ac:dyDescent="0.4">
      <c r="A4" s="66" t="s">
        <v>238</v>
      </c>
      <c r="B4" s="66">
        <v>-39.119999999999997</v>
      </c>
      <c r="C4" s="66">
        <v>-77.64</v>
      </c>
      <c r="D4" s="66">
        <v>-85.44</v>
      </c>
      <c r="E4" s="66">
        <v>200.49</v>
      </c>
      <c r="F4" s="66">
        <v>-65.61</v>
      </c>
      <c r="G4" s="66">
        <v>-10.91</v>
      </c>
      <c r="H4">
        <f>SUM(B4:G4)</f>
        <v>-78.229999999999976</v>
      </c>
    </row>
    <row r="5" spans="1:8" x14ac:dyDescent="0.4">
      <c r="A5" s="67" t="s">
        <v>239</v>
      </c>
      <c r="B5" s="66">
        <v>-34.92</v>
      </c>
      <c r="C5" s="66">
        <v>-76.989999999999995</v>
      </c>
      <c r="D5" s="66">
        <v>-79.88</v>
      </c>
      <c r="E5" s="66">
        <v>193.44</v>
      </c>
      <c r="F5" s="66">
        <v>-61.8</v>
      </c>
      <c r="G5" s="66">
        <v>-9.6999999999999993</v>
      </c>
      <c r="H5">
        <f>SUM(B5:G5)</f>
        <v>-69.849999999999994</v>
      </c>
    </row>
    <row r="6" spans="1:8" x14ac:dyDescent="0.4">
      <c r="A6" s="66"/>
      <c r="B6" s="66"/>
    </row>
    <row r="7" spans="1:8" x14ac:dyDescent="0.4">
      <c r="A7" s="66"/>
      <c r="B7" s="66"/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1979d8-faa4-4822-b524-49443f3c2d69">
      <Terms xmlns="http://schemas.microsoft.com/office/infopath/2007/PartnerControls"/>
    </lcf76f155ced4ddcb4097134ff3c332f>
    <TaxCatchAll xmlns="92616050-ef1e-44f8-a625-b80c30a41f9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2457FB3181E7743865FC1175DA91041" ma:contentTypeVersion="19" ma:contentTypeDescription="新しいドキュメントを作成します。" ma:contentTypeScope="" ma:versionID="9154cefc864ff01ceccf65e514d8b1fd">
  <xsd:schema xmlns:xsd="http://www.w3.org/2001/XMLSchema" xmlns:xs="http://www.w3.org/2001/XMLSchema" xmlns:p="http://schemas.microsoft.com/office/2006/metadata/properties" xmlns:ns2="971979d8-faa4-4822-b524-49443f3c2d69" xmlns:ns3="92616050-ef1e-44f8-a625-b80c30a41f9c" targetNamespace="http://schemas.microsoft.com/office/2006/metadata/properties" ma:root="true" ma:fieldsID="fe6a1609b63fcc9f1fd2e4f65e660f7f" ns2:_="" ns3:_="">
    <xsd:import namespace="971979d8-faa4-4822-b524-49443f3c2d69"/>
    <xsd:import namespace="92616050-ef1e-44f8-a625-b80c30a41f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1979d8-faa4-4822-b524-49443f3c2d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画像タグ" ma:readOnly="false" ma:fieldId="{5cf76f15-5ced-4ddc-b409-7134ff3c332f}" ma:taxonomyMulti="true" ma:sspId="3e2b44da-a643-41f9-8ef5-317b594750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616050-ef1e-44f8-a625-b80c30a41f9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6a35584-3a94-4c69-8d0a-7f558bcd8ccf}" ma:internalName="TaxCatchAll" ma:showField="CatchAllData" ma:web="92616050-ef1e-44f8-a625-b80c30a41f9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B56A7CD-5656-42DB-8605-867C68A11816}">
  <ds:schemaRefs>
    <ds:schemaRef ds:uri="http://schemas.microsoft.com/office/2006/metadata/properties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92616050-ef1e-44f8-a625-b80c30a41f9c"/>
    <ds:schemaRef ds:uri="971979d8-faa4-4822-b524-49443f3c2d69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13AC663-0736-4DBF-8111-4E7ED8F955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1979d8-faa4-4822-b524-49443f3c2d69"/>
    <ds:schemaRef ds:uri="92616050-ef1e-44f8-a625-b80c30a41f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997F030-20D0-4065-9F55-3A0B14E2196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TS_calculation</vt:lpstr>
      <vt:lpstr>summery</vt:lpstr>
      <vt:lpstr>EDA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Sakaguchi Daimon</dc:creator>
  <cp:keywords/>
  <dc:description/>
  <cp:lastModifiedBy>Sakaguchi Daimon</cp:lastModifiedBy>
  <cp:revision/>
  <dcterms:created xsi:type="dcterms:W3CDTF">2025-04-22T02:47:07Z</dcterms:created>
  <dcterms:modified xsi:type="dcterms:W3CDTF">2026-05-05T01:00:57Z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0x010100E2457FB3181E7743865FC1175DA91041</vt:lpwstr>
  </property>
  <property fmtid="{D5CDD505-2E9C-101B-9397-08002B2CF9AE}" pid="3" name="MediaServiceImageTags">
    <vt:lpwstr/>
  </property>
</Properties>
</file>